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WA\Desktop\1904184 Y3S1\BAMS3043 Mathematical and Statistical Software\Assignment 1\"/>
    </mc:Choice>
  </mc:AlternateContent>
  <xr:revisionPtr revIDLastSave="0" documentId="13_ncr:1_{F95BF06E-F7C4-47AB-8291-09E6E6EE8149}" xr6:coauthVersionLast="47" xr6:coauthVersionMax="47" xr10:uidLastSave="{00000000-0000-0000-0000-000000000000}"/>
  <workbookProtection lockStructure="1"/>
  <bookViews>
    <workbookView xWindow="23880" yWindow="-5175" windowWidth="24240" windowHeight="13140" xr2:uid="{E24149E7-C1AB-4391-B3E9-546F7BFC7DB2}"/>
  </bookViews>
  <sheets>
    <sheet name="Form" sheetId="1" r:id="rId1"/>
    <sheet name="Income Tax Rates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3" i="1" l="1"/>
  <c r="J122" i="1"/>
  <c r="H119" i="1"/>
  <c r="H104" i="1"/>
  <c r="H88" i="1"/>
  <c r="H72" i="1"/>
  <c r="H68" i="1"/>
  <c r="H62" i="1"/>
  <c r="H51" i="1"/>
  <c r="H39" i="1"/>
  <c r="H112" i="1"/>
  <c r="H86" i="1"/>
  <c r="H84" i="1"/>
  <c r="H82" i="1"/>
  <c r="J49" i="1"/>
  <c r="H35" i="1"/>
</calcChain>
</file>

<file path=xl/sharedStrings.xml><?xml version="1.0" encoding="utf-8"?>
<sst xmlns="http://schemas.openxmlformats.org/spreadsheetml/2006/main" count="157" uniqueCount="113">
  <si>
    <t xml:space="preserve">Estimated gross annual income  : </t>
  </si>
  <si>
    <r>
      <t xml:space="preserve">INCOME TAX FILING 
</t>
    </r>
    <r>
      <rPr>
        <sz val="10"/>
        <color theme="1"/>
        <rFont val="Times New Roman"/>
        <family val="1"/>
      </rPr>
      <t>For Resident who does not carry on business (Assessment year 2020/2021)</t>
    </r>
  </si>
  <si>
    <t>Calculations (RM)</t>
  </si>
  <si>
    <t>Rate %</t>
  </si>
  <si>
    <t>Next 15,000</t>
  </si>
  <si>
    <t>Next 20,000</t>
  </si>
  <si>
    <t>Next 30,000</t>
  </si>
  <si>
    <t>Next 150,000</t>
  </si>
  <si>
    <t>Next 200,000</t>
  </si>
  <si>
    <t>Next 400,000</t>
  </si>
  <si>
    <t>Next 1,000,000</t>
  </si>
  <si>
    <t>Exceeding 2,000,000</t>
  </si>
  <si>
    <t>Next ringgit</t>
  </si>
  <si>
    <t>-</t>
  </si>
  <si>
    <t>Chargeable Income (RM)</t>
  </si>
  <si>
    <t>Tax (RM)</t>
  </si>
  <si>
    <t>0 – 5,000</t>
  </si>
  <si>
    <t>On the first 5,000</t>
  </si>
  <si>
    <t>5,001 – 20,000</t>
  </si>
  <si>
    <t>20,001 – 35,000</t>
  </si>
  <si>
    <t>On the first 20,000</t>
  </si>
  <si>
    <t>35,001 – 50,000</t>
  </si>
  <si>
    <t>On the first 35,000</t>
  </si>
  <si>
    <t>50,001 – 70,000</t>
  </si>
  <si>
    <t>On the first 50,000</t>
  </si>
  <si>
    <t>70,001 – 100,000</t>
  </si>
  <si>
    <t>On the first 70,000</t>
  </si>
  <si>
    <t>100,001 – 250,000</t>
  </si>
  <si>
    <t>On the first 100,000</t>
  </si>
  <si>
    <t>250,001 – 400,000</t>
  </si>
  <si>
    <t>On the first 250,000</t>
  </si>
  <si>
    <t>400,001 – 600,000</t>
  </si>
  <si>
    <t>On the first 400,000</t>
  </si>
  <si>
    <t>600,001 – 1,000,000</t>
  </si>
  <si>
    <t>On the first 600,000</t>
  </si>
  <si>
    <t>1,000,001 – 2,000,000</t>
  </si>
  <si>
    <t>On the first 1,000,000</t>
  </si>
  <si>
    <t>On First 2,000,000</t>
  </si>
  <si>
    <t>………..</t>
  </si>
  <si>
    <t xml:space="preserve">Marital Status : </t>
  </si>
  <si>
    <t xml:space="preserve">No. of Children : </t>
  </si>
  <si>
    <t xml:space="preserve">No. of Children receiving full-time education : </t>
  </si>
  <si>
    <t xml:space="preserve">Do you have any disabled family members  : </t>
  </si>
  <si>
    <t xml:space="preserve">If Yes : </t>
  </si>
  <si>
    <t xml:space="preserve">Do you provide for your parents : </t>
  </si>
  <si>
    <t xml:space="preserve">RM </t>
  </si>
  <si>
    <t xml:space="preserve"> </t>
  </si>
  <si>
    <t xml:space="preserve">No. of Disabled children : </t>
  </si>
  <si>
    <t>Individual Relief</t>
  </si>
  <si>
    <t>Self, Parents and Spouse</t>
  </si>
  <si>
    <t xml:space="preserve">Medical Expenses for Parents </t>
  </si>
  <si>
    <t xml:space="preserve">OR </t>
  </si>
  <si>
    <t>Parental Relief :</t>
  </si>
  <si>
    <t>Education</t>
  </si>
  <si>
    <t xml:space="preserve">Self Education </t>
  </si>
  <si>
    <t>Medical</t>
  </si>
  <si>
    <t>Lifestyle</t>
  </si>
  <si>
    <t>Purchases of :</t>
  </si>
  <si>
    <t>Reading Materials</t>
  </si>
  <si>
    <t>Sports equipment</t>
  </si>
  <si>
    <t>Tablet</t>
  </si>
  <si>
    <t>Lifestyle (Parenthood)</t>
  </si>
  <si>
    <t>Breastfeeding Equipments</t>
  </si>
  <si>
    <t xml:space="preserve">*Expenses for the benefits of self, spouse or child </t>
  </si>
  <si>
    <t>Childcare Fees</t>
  </si>
  <si>
    <t>Child Relief</t>
  </si>
  <si>
    <t>Insurance &amp; Investments</t>
  </si>
  <si>
    <t xml:space="preserve">Are you a pensionable Public Servant : </t>
  </si>
  <si>
    <t>Non-Public Servants :</t>
  </si>
  <si>
    <t>Life Insurance</t>
  </si>
  <si>
    <t>EPF</t>
  </si>
  <si>
    <t>Deferred Annuity and PRS</t>
  </si>
  <si>
    <t xml:space="preserve">Education and Medical Insurance </t>
  </si>
  <si>
    <t>SOCSO</t>
  </si>
  <si>
    <t>For the Disabled</t>
  </si>
  <si>
    <t>Disabled Individual Relief</t>
  </si>
  <si>
    <t>Disabled Spouse</t>
  </si>
  <si>
    <t>Disabled Child</t>
  </si>
  <si>
    <t>Equipment for the disabled</t>
  </si>
  <si>
    <t>Child in Tertiary Education</t>
  </si>
  <si>
    <t>Child in Full-Time Education (Pre-U)</t>
  </si>
  <si>
    <t>Tourist Accomodation or attractions</t>
  </si>
  <si>
    <t>Restricted Amount</t>
  </si>
  <si>
    <t>-----------------------------</t>
  </si>
  <si>
    <t>------------------</t>
  </si>
  <si>
    <t>---------------------------------------</t>
  </si>
  <si>
    <t>----------------------------------------</t>
  </si>
  <si>
    <t xml:space="preserve">Claim (RM) </t>
  </si>
  <si>
    <t>Serious diseases or fertility Treatments</t>
  </si>
  <si>
    <t>Spouse Relief ( Husband / Wife / Alimony) --</t>
  </si>
  <si>
    <t>--------</t>
  </si>
  <si>
    <t>Total</t>
  </si>
  <si>
    <t xml:space="preserve">Total </t>
  </si>
  <si>
    <t>-------</t>
  </si>
  <si>
    <t>Medical Examinations   -----------------------</t>
  </si>
  <si>
    <t>Electronics     -----------------------------------</t>
  </si>
  <si>
    <t>Internet subscription  --------------------------</t>
  </si>
  <si>
    <t>Personal Computer   ---------------------------</t>
  </si>
  <si>
    <t>Smartphones   ----------------------------------</t>
  </si>
  <si>
    <t>Net Deposit in Children's SSPN  ---------------</t>
  </si>
  <si>
    <t xml:space="preserve"> ------------------</t>
  </si>
  <si>
    <t xml:space="preserve">Additional Relief for </t>
  </si>
  <si>
    <t>Life Insurance and EPF :</t>
  </si>
  <si>
    <t xml:space="preserve">Public Servants </t>
  </si>
  <si>
    <t>disabled child in higher education   -----------</t>
  </si>
  <si>
    <t xml:space="preserve">Pre - U : </t>
  </si>
  <si>
    <t xml:space="preserve">Further  : </t>
  </si>
  <si>
    <t xml:space="preserve">Mother (and/ or) Father </t>
  </si>
  <si>
    <t>Total Tax Relief</t>
  </si>
  <si>
    <t>Total  Chargeable Income</t>
  </si>
  <si>
    <t>Yes</t>
  </si>
  <si>
    <t>OR</t>
  </si>
  <si>
    <t>NET TAX PAYABLE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</si>
</sst>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M&quot;#,##0.00;[Red]\-&quot;RM&quot;#,##0.00"/>
    <numFmt numFmtId="164" formatCode="&quot;RM&quot;#,##0_);[Red]\(&quot;RM&quot;#,##0\)"/>
    <numFmt numFmtId="165" formatCode="&quot;RM&quot;#,##0.00_);[Red]\(&quot;RM&quot;#,##0.00\)"/>
    <numFmt numFmtId="166" formatCode="#,##0.00_ ;[Red]\-#,##0.00\ "/>
  </numFmts>
  <fonts count="20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20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theme="1"/>
      <name val="Times New Roman"/>
      <family val="1"/>
    </font>
    <font>
      <sz val="12"/>
      <color rgb="FF222222"/>
      <name val="Var(--ur)"/>
    </font>
    <font>
      <b/>
      <sz val="12"/>
      <color rgb="FF222222"/>
      <name val="Var(--ub)"/>
    </font>
    <font>
      <sz val="12"/>
      <color rgb="FF222222"/>
      <name val="Var(--ul)"/>
    </font>
    <font>
      <sz val="11"/>
      <color theme="1"/>
      <name val="Georgia"/>
      <family val="1"/>
    </font>
    <font>
      <sz val="14"/>
      <color theme="1"/>
      <name val="Georgia"/>
      <family val="1"/>
    </font>
    <font>
      <b/>
      <sz val="11"/>
      <color theme="1"/>
      <name val="Georgia"/>
      <family val="1"/>
    </font>
    <font>
      <u/>
      <sz val="11"/>
      <color theme="1"/>
      <name val="Georgia"/>
      <family val="1"/>
    </font>
    <font>
      <sz val="11"/>
      <color theme="1"/>
      <name val="Segoe UI"/>
      <family val="2"/>
    </font>
    <font>
      <sz val="8"/>
      <color rgb="FF000000"/>
      <name val="Segoe UI"/>
      <family val="2"/>
    </font>
    <font>
      <b/>
      <sz val="11"/>
      <color theme="1"/>
      <name val="Segoe UI"/>
      <family val="2"/>
    </font>
    <font>
      <i/>
      <sz val="11"/>
      <color theme="1"/>
      <name val="Calibri"/>
      <family val="2"/>
      <scheme val="minor"/>
    </font>
    <font>
      <sz val="12"/>
      <color theme="1"/>
      <name val="Georgia"/>
      <family val="1"/>
    </font>
    <font>
      <b/>
      <i/>
      <sz val="14"/>
      <color theme="1"/>
      <name val="Segoe UI"/>
      <family val="2"/>
    </font>
    <font>
      <b/>
      <sz val="10"/>
      <color theme="1"/>
      <name val="Georgia"/>
      <family val="1"/>
    </font>
    <font>
      <b/>
      <sz val="15"/>
      <color theme="2" tint="-0.74999237037263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BAE4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 applyAlignment="1">
      <alignment horizontal="left"/>
    </xf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0" borderId="0" xfId="0" applyAlignment="1">
      <alignment horizontal="center"/>
    </xf>
    <xf numFmtId="0" fontId="6" fillId="6" borderId="9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3" fontId="7" fillId="6" borderId="9" xfId="0" applyNumberFormat="1" applyFont="1" applyFill="1" applyBorder="1" applyAlignment="1">
      <alignment horizontal="center" vertical="center" wrapText="1"/>
    </xf>
    <xf numFmtId="3" fontId="5" fillId="6" borderId="9" xfId="0" applyNumberFormat="1" applyFont="1" applyFill="1" applyBorder="1" applyAlignment="1">
      <alignment horizontal="center" vertical="center" wrapText="1"/>
    </xf>
    <xf numFmtId="0" fontId="1" fillId="5" borderId="0" xfId="0" applyFont="1" applyFill="1" applyBorder="1"/>
    <xf numFmtId="0" fontId="0" fillId="5" borderId="0" xfId="0" applyFill="1"/>
    <xf numFmtId="0" fontId="1" fillId="5" borderId="0" xfId="0" applyFont="1" applyFill="1" applyBorder="1" applyAlignment="1"/>
    <xf numFmtId="0" fontId="8" fillId="5" borderId="4" xfId="0" applyFont="1" applyFill="1" applyBorder="1"/>
    <xf numFmtId="0" fontId="8" fillId="5" borderId="0" xfId="0" applyFont="1" applyFill="1" applyBorder="1"/>
    <xf numFmtId="0" fontId="8" fillId="5" borderId="5" xfId="0" applyFont="1" applyFill="1" applyBorder="1"/>
    <xf numFmtId="0" fontId="9" fillId="5" borderId="0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left"/>
    </xf>
    <xf numFmtId="0" fontId="10" fillId="5" borderId="0" xfId="0" applyFont="1" applyFill="1" applyBorder="1"/>
    <xf numFmtId="0" fontId="8" fillId="5" borderId="0" xfId="0" quotePrefix="1" applyFont="1" applyFill="1" applyBorder="1"/>
    <xf numFmtId="0" fontId="8" fillId="5" borderId="0" xfId="0" applyFont="1" applyFill="1" applyBorder="1" applyAlignment="1"/>
    <xf numFmtId="164" fontId="12" fillId="5" borderId="17" xfId="0" applyNumberFormat="1" applyFont="1" applyFill="1" applyBorder="1" applyAlignment="1"/>
    <xf numFmtId="164" fontId="12" fillId="5" borderId="0" xfId="0" applyNumberFormat="1" applyFont="1" applyFill="1" applyBorder="1" applyAlignment="1">
      <alignment horizontal="center"/>
    </xf>
    <xf numFmtId="164" fontId="12" fillId="5" borderId="19" xfId="0" applyNumberFormat="1" applyFont="1" applyFill="1" applyBorder="1" applyAlignment="1">
      <alignment horizontal="center"/>
    </xf>
    <xf numFmtId="0" fontId="12" fillId="5" borderId="0" xfId="0" applyFont="1" applyFill="1" applyBorder="1"/>
    <xf numFmtId="38" fontId="12" fillId="8" borderId="9" xfId="0" applyNumberFormat="1" applyFont="1" applyFill="1" applyBorder="1" applyAlignment="1">
      <alignment horizontal="center"/>
    </xf>
    <xf numFmtId="0" fontId="11" fillId="5" borderId="0" xfId="0" applyFont="1" applyFill="1" applyBorder="1"/>
    <xf numFmtId="0" fontId="12" fillId="5" borderId="13" xfId="0" applyFont="1" applyFill="1" applyBorder="1"/>
    <xf numFmtId="164" fontId="12" fillId="5" borderId="16" xfId="0" applyNumberFormat="1" applyFont="1" applyFill="1" applyBorder="1" applyAlignment="1">
      <alignment horizontal="center"/>
    </xf>
    <xf numFmtId="164" fontId="12" fillId="5" borderId="13" xfId="0" applyNumberFormat="1" applyFont="1" applyFill="1" applyBorder="1" applyAlignment="1">
      <alignment horizontal="center"/>
    </xf>
    <xf numFmtId="0" fontId="8" fillId="5" borderId="0" xfId="0" applyFont="1" applyFill="1" applyBorder="1" applyProtection="1">
      <protection locked="0"/>
    </xf>
    <xf numFmtId="40" fontId="12" fillId="4" borderId="9" xfId="0" applyNumberFormat="1" applyFont="1" applyFill="1" applyBorder="1" applyAlignment="1" applyProtection="1">
      <alignment horizontal="center"/>
      <protection locked="0"/>
    </xf>
    <xf numFmtId="40" fontId="12" fillId="5" borderId="0" xfId="0" applyNumberFormat="1" applyFont="1" applyFill="1" applyBorder="1" applyAlignment="1" applyProtection="1">
      <alignment horizontal="center"/>
      <protection locked="0"/>
    </xf>
    <xf numFmtId="0" fontId="12" fillId="5" borderId="16" xfId="0" applyFont="1" applyFill="1" applyBorder="1"/>
    <xf numFmtId="40" fontId="12" fillId="5" borderId="0" xfId="0" applyNumberFormat="1" applyFont="1" applyFill="1" applyBorder="1" applyProtection="1">
      <protection locked="0"/>
    </xf>
    <xf numFmtId="40" fontId="12" fillId="4" borderId="9" xfId="0" applyNumberFormat="1" applyFont="1" applyFill="1" applyBorder="1" applyAlignment="1">
      <alignment horizontal="center"/>
    </xf>
    <xf numFmtId="165" fontId="12" fillId="5" borderId="24" xfId="0" applyNumberFormat="1" applyFont="1" applyFill="1" applyBorder="1"/>
    <xf numFmtId="0" fontId="15" fillId="5" borderId="10" xfId="0" applyFont="1" applyFill="1" applyBorder="1" applyAlignment="1">
      <alignment horizontal="center" wrapText="1"/>
    </xf>
    <xf numFmtId="38" fontId="12" fillId="8" borderId="9" xfId="0" applyNumberFormat="1" applyFont="1" applyFill="1" applyBorder="1" applyAlignment="1" applyProtection="1">
      <alignment horizontal="center"/>
    </xf>
    <xf numFmtId="40" fontId="12" fillId="4" borderId="22" xfId="0" applyNumberFormat="1" applyFont="1" applyFill="1" applyBorder="1" applyAlignment="1" applyProtection="1">
      <alignment horizontal="center"/>
      <protection locked="0"/>
    </xf>
    <xf numFmtId="0" fontId="16" fillId="9" borderId="0" xfId="0" applyFont="1" applyFill="1" applyBorder="1" applyAlignment="1"/>
    <xf numFmtId="0" fontId="4" fillId="5" borderId="0" xfId="0" applyFont="1" applyFill="1" applyBorder="1" applyAlignment="1">
      <alignment horizontal="left"/>
    </xf>
    <xf numFmtId="0" fontId="15" fillId="5" borderId="10" xfId="0" applyFont="1" applyFill="1" applyBorder="1" applyAlignment="1">
      <alignment horizontal="right"/>
    </xf>
    <xf numFmtId="40" fontId="12" fillId="8" borderId="9" xfId="0" applyNumberFormat="1" applyFont="1" applyFill="1" applyBorder="1" applyAlignment="1" applyProtection="1">
      <alignment horizontal="center"/>
      <protection hidden="1"/>
    </xf>
    <xf numFmtId="0" fontId="8" fillId="11" borderId="4" xfId="0" applyFont="1" applyFill="1" applyBorder="1"/>
    <xf numFmtId="0" fontId="8" fillId="11" borderId="0" xfId="0" applyFont="1" applyFill="1" applyBorder="1"/>
    <xf numFmtId="0" fontId="8" fillId="11" borderId="5" xfId="0" applyFont="1" applyFill="1" applyBorder="1"/>
    <xf numFmtId="0" fontId="0" fillId="11" borderId="0" xfId="0" applyFill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16" fillId="5" borderId="0" xfId="0" applyFont="1" applyFill="1" applyBorder="1" applyAlignment="1"/>
    <xf numFmtId="40" fontId="12" fillId="4" borderId="9" xfId="0" applyNumberFormat="1" applyFont="1" applyFill="1" applyBorder="1" applyAlignment="1" applyProtection="1">
      <alignment horizontal="center"/>
    </xf>
    <xf numFmtId="165" fontId="12" fillId="5" borderId="24" xfId="0" applyNumberFormat="1" applyFont="1" applyFill="1" applyBorder="1" applyProtection="1">
      <protection hidden="1"/>
    </xf>
    <xf numFmtId="40" fontId="12" fillId="8" borderId="11" xfId="0" applyNumberFormat="1" applyFont="1" applyFill="1" applyBorder="1" applyAlignment="1" applyProtection="1">
      <alignment horizontal="center"/>
      <protection hidden="1"/>
    </xf>
    <xf numFmtId="40" fontId="12" fillId="4" borderId="23" xfId="0" applyNumberFormat="1" applyFont="1" applyFill="1" applyBorder="1" applyAlignment="1" applyProtection="1">
      <alignment horizontal="center"/>
      <protection locked="0" hidden="1"/>
    </xf>
    <xf numFmtId="40" fontId="12" fillId="5" borderId="18" xfId="0" applyNumberFormat="1" applyFont="1" applyFill="1" applyBorder="1" applyAlignment="1" applyProtection="1">
      <alignment horizontal="center"/>
      <protection hidden="1"/>
    </xf>
    <xf numFmtId="0" fontId="14" fillId="5" borderId="0" xfId="0" quotePrefix="1" applyFont="1" applyFill="1" applyBorder="1" applyAlignment="1">
      <alignment horizontal="center"/>
    </xf>
    <xf numFmtId="0" fontId="1" fillId="4" borderId="9" xfId="0" applyFont="1" applyFill="1" applyBorder="1" applyAlignment="1" applyProtection="1">
      <alignment horizontal="center"/>
      <protection locked="0"/>
    </xf>
    <xf numFmtId="0" fontId="1" fillId="4" borderId="9" xfId="0" applyFont="1" applyFill="1" applyBorder="1" applyAlignment="1">
      <alignment horizontal="center"/>
    </xf>
    <xf numFmtId="0" fontId="1" fillId="4" borderId="12" xfId="0" applyFont="1" applyFill="1" applyBorder="1" applyAlignment="1" applyProtection="1">
      <alignment horizontal="center"/>
      <protection locked="0"/>
    </xf>
    <xf numFmtId="164" fontId="12" fillId="8" borderId="11" xfId="0" applyNumberFormat="1" applyFont="1" applyFill="1" applyBorder="1" applyAlignment="1">
      <alignment horizontal="center"/>
    </xf>
    <xf numFmtId="164" fontId="12" fillId="8" borderId="12" xfId="0" applyNumberFormat="1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left"/>
    </xf>
    <xf numFmtId="0" fontId="8" fillId="5" borderId="10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center"/>
    </xf>
    <xf numFmtId="164" fontId="12" fillId="8" borderId="14" xfId="0" applyNumberFormat="1" applyFont="1" applyFill="1" applyBorder="1" applyAlignment="1" applyProtection="1">
      <alignment horizontal="center"/>
      <protection hidden="1"/>
    </xf>
    <xf numFmtId="164" fontId="12" fillId="8" borderId="15" xfId="0" applyNumberFormat="1" applyFont="1" applyFill="1" applyBorder="1" applyAlignment="1" applyProtection="1">
      <alignment horizontal="center"/>
      <protection hidden="1"/>
    </xf>
    <xf numFmtId="164" fontId="12" fillId="8" borderId="14" xfId="0" applyNumberFormat="1" applyFont="1" applyFill="1" applyBorder="1" applyAlignment="1">
      <alignment horizontal="center"/>
    </xf>
    <xf numFmtId="164" fontId="12" fillId="8" borderId="15" xfId="0" applyNumberFormat="1" applyFont="1" applyFill="1" applyBorder="1" applyAlignment="1">
      <alignment horizontal="center"/>
    </xf>
    <xf numFmtId="164" fontId="12" fillId="8" borderId="18" xfId="0" applyNumberFormat="1" applyFont="1" applyFill="1" applyBorder="1" applyAlignment="1">
      <alignment horizontal="center"/>
    </xf>
    <xf numFmtId="0" fontId="11" fillId="5" borderId="0" xfId="0" applyFont="1" applyFill="1" applyBorder="1" applyAlignment="1">
      <alignment horizontal="left"/>
    </xf>
    <xf numFmtId="164" fontId="12" fillId="8" borderId="20" xfId="0" applyNumberFormat="1" applyFont="1" applyFill="1" applyBorder="1" applyAlignment="1">
      <alignment horizontal="center"/>
    </xf>
    <xf numFmtId="164" fontId="12" fillId="8" borderId="21" xfId="0" applyNumberFormat="1" applyFont="1" applyFill="1" applyBorder="1" applyAlignment="1">
      <alignment horizontal="center"/>
    </xf>
    <xf numFmtId="0" fontId="8" fillId="5" borderId="1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6" fontId="12" fillId="4" borderId="11" xfId="0" applyNumberFormat="1" applyFont="1" applyFill="1" applyBorder="1" applyAlignment="1" applyProtection="1">
      <alignment horizontal="right"/>
      <protection locked="0"/>
    </xf>
    <xf numFmtId="166" fontId="12" fillId="4" borderId="13" xfId="0" applyNumberFormat="1" applyFont="1" applyFill="1" applyBorder="1" applyAlignment="1" applyProtection="1">
      <alignment horizontal="right"/>
      <protection locked="0"/>
    </xf>
    <xf numFmtId="166" fontId="12" fillId="4" borderId="12" xfId="0" applyNumberFormat="1" applyFont="1" applyFill="1" applyBorder="1" applyAlignment="1" applyProtection="1">
      <alignment horizontal="right"/>
      <protection locked="0"/>
    </xf>
    <xf numFmtId="0" fontId="1" fillId="5" borderId="0" xfId="0" applyFont="1" applyFill="1" applyBorder="1" applyAlignment="1">
      <alignment horizontal="right"/>
    </xf>
    <xf numFmtId="165" fontId="14" fillId="9" borderId="11" xfId="0" applyNumberFormat="1" applyFont="1" applyFill="1" applyBorder="1" applyAlignment="1">
      <alignment horizontal="center"/>
    </xf>
    <xf numFmtId="0" fontId="14" fillId="9" borderId="12" xfId="0" applyFont="1" applyFill="1" applyBorder="1" applyAlignment="1">
      <alignment horizontal="center"/>
    </xf>
    <xf numFmtId="0" fontId="18" fillId="9" borderId="0" xfId="0" applyFont="1" applyFill="1" applyBorder="1" applyAlignment="1">
      <alignment horizontal="center"/>
    </xf>
    <xf numFmtId="0" fontId="18" fillId="9" borderId="10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164" fontId="12" fillId="8" borderId="11" xfId="0" applyNumberFormat="1" applyFont="1" applyFill="1" applyBorder="1" applyAlignment="1" applyProtection="1">
      <alignment horizontal="center"/>
    </xf>
    <xf numFmtId="164" fontId="12" fillId="8" borderId="12" xfId="0" applyNumberFormat="1" applyFont="1" applyFill="1" applyBorder="1" applyAlignment="1" applyProtection="1">
      <alignment horizontal="center"/>
    </xf>
    <xf numFmtId="165" fontId="17" fillId="11" borderId="25" xfId="0" applyNumberFormat="1" applyFont="1" applyFill="1" applyBorder="1" applyAlignment="1">
      <alignment horizontal="center" vertical="center"/>
    </xf>
    <xf numFmtId="165" fontId="17" fillId="11" borderId="26" xfId="0" applyNumberFormat="1" applyFont="1" applyFill="1" applyBorder="1" applyAlignment="1">
      <alignment horizontal="center" vertical="center"/>
    </xf>
    <xf numFmtId="0" fontId="19" fillId="11" borderId="0" xfId="0" applyFont="1" applyFill="1" applyBorder="1" applyAlignment="1">
      <alignment horizontal="right" vertical="center"/>
    </xf>
    <xf numFmtId="8" fontId="14" fillId="10" borderId="11" xfId="0" applyNumberFormat="1" applyFont="1" applyFill="1" applyBorder="1" applyAlignment="1" applyProtection="1">
      <alignment horizontal="center"/>
      <protection hidden="1"/>
    </xf>
    <xf numFmtId="8" fontId="14" fillId="10" borderId="12" xfId="0" applyNumberFormat="1" applyFont="1" applyFill="1" applyBorder="1" applyAlignment="1" applyProtection="1">
      <alignment horizontal="center"/>
      <protection hidden="1"/>
    </xf>
    <xf numFmtId="0" fontId="18" fillId="10" borderId="0" xfId="0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5" fillId="6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CBAE4"/>
      <color rgb="FFF7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114300</xdr:rowOff>
        </xdr:from>
        <xdr:to>
          <xdr:col>11</xdr:col>
          <xdr:colOff>304800</xdr:colOff>
          <xdr:row>24</xdr:row>
          <xdr:rowOff>66675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Personal Information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7</xdr:col>
          <xdr:colOff>809625</xdr:colOff>
          <xdr:row>10</xdr:row>
          <xdr:rowOff>47625</xdr:rowOff>
        </xdr:to>
        <xdr:sp macro="" textlink="">
          <xdr:nvSpPr>
            <xdr:cNvPr id="1032" name="opBtnSing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9</xdr:row>
          <xdr:rowOff>0</xdr:rowOff>
        </xdr:from>
        <xdr:to>
          <xdr:col>9</xdr:col>
          <xdr:colOff>266700</xdr:colOff>
          <xdr:row>10</xdr:row>
          <xdr:rowOff>47625</xdr:rowOff>
        </xdr:to>
        <xdr:sp macro="" textlink="">
          <xdr:nvSpPr>
            <xdr:cNvPr id="1033" name="opBtnMarrie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9</xdr:row>
          <xdr:rowOff>9525</xdr:rowOff>
        </xdr:from>
        <xdr:to>
          <xdr:col>11</xdr:col>
          <xdr:colOff>76200</xdr:colOff>
          <xdr:row>10</xdr:row>
          <xdr:rowOff>57150</xdr:rowOff>
        </xdr:to>
        <xdr:sp macro="" textlink="">
          <xdr:nvSpPr>
            <xdr:cNvPr id="1034" name="opBtnDivorc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9525</xdr:rowOff>
        </xdr:from>
        <xdr:to>
          <xdr:col>11</xdr:col>
          <xdr:colOff>266700</xdr:colOff>
          <xdr:row>119</xdr:row>
          <xdr:rowOff>161925</xdr:rowOff>
        </xdr:to>
        <xdr:sp macro="" textlink="">
          <xdr:nvSpPr>
            <xdr:cNvPr id="1057" name="Group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Tax Reliefs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128</xdr:row>
          <xdr:rowOff>123825</xdr:rowOff>
        </xdr:from>
        <xdr:to>
          <xdr:col>7</xdr:col>
          <xdr:colOff>38100</xdr:colOff>
          <xdr:row>130</xdr:row>
          <xdr:rowOff>57150</xdr:rowOff>
        </xdr:to>
        <xdr:sp macro="" textlink="">
          <xdr:nvSpPr>
            <xdr:cNvPr id="1064" name="btnReset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15</xdr:row>
          <xdr:rowOff>9525</xdr:rowOff>
        </xdr:from>
        <xdr:to>
          <xdr:col>10</xdr:col>
          <xdr:colOff>152400</xdr:colOff>
          <xdr:row>15</xdr:row>
          <xdr:rowOff>180975</xdr:rowOff>
        </xdr:to>
        <xdr:sp macro="" textlink="">
          <xdr:nvSpPr>
            <xdr:cNvPr id="1069" name="chkDisabledIndividual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16</xdr:row>
          <xdr:rowOff>76200</xdr:rowOff>
        </xdr:from>
        <xdr:to>
          <xdr:col>11</xdr:col>
          <xdr:colOff>57150</xdr:colOff>
          <xdr:row>17</xdr:row>
          <xdr:rowOff>57150</xdr:rowOff>
        </xdr:to>
        <xdr:sp macro="" textlink="">
          <xdr:nvSpPr>
            <xdr:cNvPr id="1070" name="chkDisabledSpous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17</xdr:row>
          <xdr:rowOff>161925</xdr:rowOff>
        </xdr:from>
        <xdr:to>
          <xdr:col>11</xdr:col>
          <xdr:colOff>209550</xdr:colOff>
          <xdr:row>18</xdr:row>
          <xdr:rowOff>152400</xdr:rowOff>
        </xdr:to>
        <xdr:sp macro="" textlink="">
          <xdr:nvSpPr>
            <xdr:cNvPr id="1071" name="chkDisabledChild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123</xdr:row>
          <xdr:rowOff>133350</xdr:rowOff>
        </xdr:from>
        <xdr:to>
          <xdr:col>7</xdr:col>
          <xdr:colOff>371475</xdr:colOff>
          <xdr:row>125</xdr:row>
          <xdr:rowOff>161925</xdr:rowOff>
        </xdr:to>
        <xdr:sp macro="" textlink="">
          <xdr:nvSpPr>
            <xdr:cNvPr id="1077" name="btnCalculate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3A-061C-4081-8BC4-64B7532B858D}">
  <sheetPr codeName="Sheet1"/>
  <dimension ref="A1:M189"/>
  <sheetViews>
    <sheetView tabSelected="1" zoomScaleNormal="100" workbookViewId="0">
      <selection activeCell="M3" sqref="M3"/>
    </sheetView>
  </sheetViews>
  <sheetFormatPr defaultColWidth="0" defaultRowHeight="15" zeroHeight="1"/>
  <cols>
    <col min="1" max="7" width="9.140625" customWidth="1"/>
    <col min="8" max="8" width="13.7109375" customWidth="1"/>
    <col min="9" max="13" width="9.140625" customWidth="1"/>
    <col min="14" max="16384" width="9.140625" hidden="1"/>
  </cols>
  <sheetData>
    <row r="1" spans="2:12"/>
    <row r="2" spans="2:12" ht="15.75" thickBot="1"/>
    <row r="3" spans="2:12">
      <c r="B3" s="82" t="s">
        <v>1</v>
      </c>
      <c r="C3" s="83"/>
      <c r="D3" s="83"/>
      <c r="E3" s="83"/>
      <c r="F3" s="83"/>
      <c r="G3" s="83"/>
      <c r="H3" s="83"/>
      <c r="I3" s="83"/>
      <c r="J3" s="83"/>
      <c r="K3" s="83"/>
      <c r="L3" s="84"/>
    </row>
    <row r="4" spans="2:12" ht="23.25" customHeight="1" thickBot="1">
      <c r="B4" s="85"/>
      <c r="C4" s="86"/>
      <c r="D4" s="86"/>
      <c r="E4" s="86"/>
      <c r="F4" s="86"/>
      <c r="G4" s="86"/>
      <c r="H4" s="86"/>
      <c r="I4" s="86"/>
      <c r="J4" s="86"/>
      <c r="K4" s="86"/>
      <c r="L4" s="87"/>
    </row>
    <row r="5" spans="2:12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ht="16.5">
      <c r="B6" s="1"/>
      <c r="C6" s="97" t="s">
        <v>0</v>
      </c>
      <c r="D6" s="97"/>
      <c r="E6" s="97"/>
      <c r="F6" s="97"/>
      <c r="G6" s="2"/>
      <c r="H6" s="4" t="s">
        <v>45</v>
      </c>
      <c r="I6" s="88">
        <v>105000</v>
      </c>
      <c r="J6" s="89"/>
      <c r="K6" s="90"/>
      <c r="L6" s="5"/>
    </row>
    <row r="7" spans="2:12">
      <c r="B7" s="1"/>
      <c r="C7" s="2"/>
      <c r="D7" s="2"/>
      <c r="E7" s="2"/>
      <c r="F7" s="2"/>
      <c r="G7" s="2"/>
      <c r="H7" s="2"/>
      <c r="I7" s="2"/>
      <c r="J7" s="2"/>
      <c r="K7" s="2"/>
      <c r="L7" s="3"/>
    </row>
    <row r="8" spans="2:12">
      <c r="B8" s="6"/>
      <c r="C8" s="7"/>
      <c r="D8" s="7"/>
      <c r="E8" s="7"/>
      <c r="F8" s="7"/>
      <c r="G8" s="7"/>
      <c r="H8" s="7"/>
      <c r="I8" s="7"/>
      <c r="J8" s="7"/>
      <c r="K8" s="7"/>
      <c r="L8" s="8"/>
    </row>
    <row r="9" spans="2:12">
      <c r="B9" s="6"/>
      <c r="C9" s="15"/>
      <c r="D9" s="15"/>
      <c r="E9" s="15"/>
      <c r="F9" s="15"/>
      <c r="G9" s="15"/>
      <c r="H9" s="15"/>
      <c r="I9" s="15"/>
      <c r="J9" s="15"/>
      <c r="K9" s="15"/>
      <c r="L9" s="8"/>
    </row>
    <row r="10" spans="2:12">
      <c r="B10" s="6"/>
      <c r="C10" s="16"/>
      <c r="D10" s="17"/>
      <c r="E10" s="17"/>
      <c r="F10" s="91" t="s">
        <v>39</v>
      </c>
      <c r="G10" s="91"/>
      <c r="H10" s="15"/>
      <c r="I10" s="15"/>
      <c r="J10" s="15"/>
      <c r="K10" s="15"/>
      <c r="L10" s="8"/>
    </row>
    <row r="11" spans="2:12">
      <c r="B11" s="6"/>
      <c r="C11" s="15"/>
      <c r="D11" s="15"/>
      <c r="E11" s="15"/>
      <c r="F11" s="15"/>
      <c r="G11" s="15"/>
      <c r="H11" s="15"/>
      <c r="I11" s="15"/>
      <c r="J11" s="15"/>
      <c r="K11" s="15"/>
      <c r="L11" s="8"/>
    </row>
    <row r="12" spans="2:12">
      <c r="B12" s="6"/>
      <c r="C12" s="16"/>
      <c r="D12" s="17"/>
      <c r="E12" s="17"/>
      <c r="F12" s="91" t="s">
        <v>40</v>
      </c>
      <c r="G12" s="96"/>
      <c r="H12" s="64">
        <v>4</v>
      </c>
      <c r="I12" s="15"/>
      <c r="J12" s="15"/>
      <c r="K12" s="15"/>
      <c r="L12" s="8"/>
    </row>
    <row r="13" spans="2:12">
      <c r="B13" s="6"/>
      <c r="C13" s="15"/>
      <c r="D13" s="15"/>
      <c r="E13" s="15"/>
      <c r="F13" s="15"/>
      <c r="G13" s="15"/>
      <c r="H13" s="15"/>
      <c r="I13" s="15"/>
      <c r="J13" s="15"/>
      <c r="K13" s="15"/>
      <c r="L13" s="8"/>
    </row>
    <row r="14" spans="2:12">
      <c r="B14" s="6"/>
      <c r="C14" s="91" t="s">
        <v>41</v>
      </c>
      <c r="D14" s="91"/>
      <c r="E14" s="91"/>
      <c r="F14" s="91"/>
      <c r="G14" s="91"/>
      <c r="H14" s="48" t="s">
        <v>105</v>
      </c>
      <c r="I14" s="66">
        <v>2</v>
      </c>
      <c r="J14" s="43" t="s">
        <v>106</v>
      </c>
      <c r="K14" s="64">
        <v>2</v>
      </c>
      <c r="L14" s="8"/>
    </row>
    <row r="15" spans="2:12">
      <c r="B15" s="6"/>
      <c r="C15" s="15"/>
      <c r="D15" s="15"/>
      <c r="E15" s="15"/>
      <c r="F15" s="15"/>
      <c r="G15" s="15"/>
      <c r="H15" s="15"/>
      <c r="I15" s="15"/>
      <c r="J15" s="15"/>
      <c r="K15" s="15"/>
      <c r="L15" s="8"/>
    </row>
    <row r="16" spans="2:12">
      <c r="B16" s="6"/>
      <c r="C16" s="91" t="s">
        <v>42</v>
      </c>
      <c r="D16" s="91"/>
      <c r="E16" s="91"/>
      <c r="F16" s="91"/>
      <c r="G16" s="91"/>
      <c r="H16" s="65" t="s">
        <v>110</v>
      </c>
      <c r="I16" s="47" t="s">
        <v>43</v>
      </c>
      <c r="J16" s="15"/>
      <c r="K16" s="15"/>
      <c r="L16" s="8"/>
    </row>
    <row r="17" spans="2:12">
      <c r="B17" s="6"/>
      <c r="C17" s="15"/>
      <c r="D17" s="15"/>
      <c r="E17" s="15"/>
      <c r="F17" s="15"/>
      <c r="G17" s="15"/>
      <c r="H17" s="15"/>
      <c r="I17" s="15"/>
      <c r="J17" s="15"/>
      <c r="K17" s="15"/>
      <c r="L17" s="8"/>
    </row>
    <row r="18" spans="2:12">
      <c r="B18" s="6"/>
      <c r="C18" s="15"/>
      <c r="D18" s="15"/>
      <c r="E18" s="15"/>
      <c r="F18" s="15"/>
      <c r="G18" s="15"/>
      <c r="H18" s="15"/>
      <c r="I18" s="15"/>
      <c r="J18" s="15"/>
      <c r="K18" s="15" t="s">
        <v>46</v>
      </c>
      <c r="L18" s="8"/>
    </row>
    <row r="19" spans="2:12">
      <c r="B19" s="6"/>
      <c r="C19" s="15"/>
      <c r="D19" s="15"/>
      <c r="E19" s="91" t="s">
        <v>47</v>
      </c>
      <c r="F19" s="91"/>
      <c r="G19" s="91"/>
      <c r="H19" s="64">
        <v>3</v>
      </c>
      <c r="I19" s="15"/>
      <c r="J19" s="15"/>
      <c r="K19" s="15"/>
      <c r="L19" s="8"/>
    </row>
    <row r="20" spans="2:12">
      <c r="B20" s="6"/>
      <c r="C20" s="15"/>
      <c r="D20" s="16"/>
      <c r="E20" s="16"/>
      <c r="F20" s="16"/>
      <c r="G20" s="16"/>
      <c r="H20" s="15"/>
      <c r="I20" s="15"/>
      <c r="J20" s="15"/>
      <c r="K20" s="15"/>
      <c r="L20" s="8"/>
    </row>
    <row r="21" spans="2:12">
      <c r="B21" s="6"/>
      <c r="C21" s="15"/>
      <c r="D21" s="91" t="s">
        <v>44</v>
      </c>
      <c r="E21" s="91"/>
      <c r="F21" s="91"/>
      <c r="G21" s="91"/>
      <c r="H21" s="65">
        <v>1</v>
      </c>
      <c r="I21" s="15"/>
      <c r="J21" s="15"/>
      <c r="K21" s="15"/>
      <c r="L21" s="8"/>
    </row>
    <row r="22" spans="2:12">
      <c r="B22" s="6"/>
      <c r="C22" s="16"/>
      <c r="D22" s="15"/>
      <c r="E22" s="15"/>
      <c r="F22" s="15"/>
      <c r="G22" s="15"/>
      <c r="H22" s="15"/>
      <c r="I22" s="15"/>
      <c r="J22" s="15"/>
      <c r="K22" s="15"/>
      <c r="L22" s="8"/>
    </row>
    <row r="23" spans="2:12">
      <c r="B23" s="6"/>
      <c r="C23" s="16"/>
      <c r="D23" s="91" t="s">
        <v>67</v>
      </c>
      <c r="E23" s="91"/>
      <c r="F23" s="91"/>
      <c r="G23" s="91"/>
      <c r="H23" s="65" t="s">
        <v>110</v>
      </c>
      <c r="I23" s="15"/>
      <c r="J23" s="15"/>
      <c r="K23" s="15"/>
      <c r="L23" s="8"/>
    </row>
    <row r="24" spans="2:12">
      <c r="B24" s="6"/>
      <c r="C24" s="16"/>
      <c r="D24" s="15"/>
      <c r="E24" s="15"/>
      <c r="F24" s="15"/>
      <c r="G24" s="15"/>
      <c r="H24" s="15"/>
      <c r="I24" s="15"/>
      <c r="J24" s="15"/>
      <c r="K24" s="15"/>
      <c r="L24" s="8"/>
    </row>
    <row r="25" spans="2:12">
      <c r="B25" s="6"/>
      <c r="C25" s="15"/>
      <c r="D25" s="15"/>
      <c r="E25" s="15"/>
      <c r="F25" s="15"/>
      <c r="G25" s="15"/>
      <c r="H25" s="15"/>
      <c r="I25" s="15"/>
      <c r="J25" s="15"/>
      <c r="K25" s="15"/>
      <c r="L25" s="8"/>
    </row>
    <row r="26" spans="2:12">
      <c r="B26" s="6"/>
      <c r="C26" s="15"/>
      <c r="D26" s="15"/>
      <c r="E26" s="15"/>
      <c r="F26" s="15"/>
      <c r="G26" s="15"/>
      <c r="H26" s="15"/>
      <c r="I26" s="15"/>
      <c r="J26" s="15"/>
      <c r="K26" s="15"/>
      <c r="L26" s="8"/>
    </row>
    <row r="27" spans="2:12"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20"/>
    </row>
    <row r="28" spans="2:12" ht="18">
      <c r="B28" s="18"/>
      <c r="C28" s="72" t="s">
        <v>49</v>
      </c>
      <c r="D28" s="72"/>
      <c r="E28" s="72"/>
      <c r="F28" s="72"/>
      <c r="G28" s="72"/>
      <c r="H28" s="72"/>
      <c r="I28" s="72"/>
      <c r="J28" s="72"/>
      <c r="K28" s="72"/>
      <c r="L28" s="20"/>
    </row>
    <row r="29" spans="2:12" ht="18">
      <c r="B29" s="18"/>
      <c r="C29" s="21"/>
      <c r="D29" s="21"/>
      <c r="E29" s="21"/>
      <c r="F29" s="21"/>
      <c r="G29" s="16"/>
      <c r="H29" s="22" t="s">
        <v>87</v>
      </c>
      <c r="I29" s="26"/>
      <c r="J29" s="81" t="s">
        <v>82</v>
      </c>
      <c r="K29" s="81"/>
      <c r="L29" s="20"/>
    </row>
    <row r="30" spans="2:12" ht="16.5">
      <c r="B30" s="18"/>
      <c r="C30" s="70" t="s">
        <v>48</v>
      </c>
      <c r="D30" s="70"/>
      <c r="E30" s="25" t="s">
        <v>83</v>
      </c>
      <c r="F30" s="19"/>
      <c r="G30" s="19"/>
      <c r="H30" s="60">
        <v>9000</v>
      </c>
      <c r="I30" s="27"/>
      <c r="J30" s="98">
        <v>9000</v>
      </c>
      <c r="K30" s="99"/>
      <c r="L30" s="20"/>
    </row>
    <row r="31" spans="2:12"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20"/>
    </row>
    <row r="32" spans="2:12" ht="16.5">
      <c r="B32" s="18"/>
      <c r="C32" s="69" t="s">
        <v>50</v>
      </c>
      <c r="D32" s="69"/>
      <c r="E32" s="69"/>
      <c r="F32" s="25" t="s">
        <v>84</v>
      </c>
      <c r="G32" s="19"/>
      <c r="H32" s="37">
        <v>0</v>
      </c>
      <c r="I32" s="19"/>
      <c r="J32" s="67">
        <v>5000</v>
      </c>
      <c r="K32" s="68"/>
      <c r="L32" s="20"/>
    </row>
    <row r="33" spans="2:12" ht="16.5">
      <c r="B33" s="18"/>
      <c r="C33" s="24" t="s">
        <v>51</v>
      </c>
      <c r="D33" s="19"/>
      <c r="E33" s="19"/>
      <c r="F33" s="19"/>
      <c r="G33" s="19"/>
      <c r="H33" s="30"/>
      <c r="I33" s="19"/>
      <c r="J33" s="19"/>
      <c r="K33" s="19"/>
      <c r="L33" s="20"/>
    </row>
    <row r="34" spans="2:12" ht="16.5">
      <c r="B34" s="18"/>
      <c r="C34" s="78" t="s">
        <v>52</v>
      </c>
      <c r="D34" s="78"/>
      <c r="E34" s="19"/>
      <c r="F34" s="19"/>
      <c r="G34" s="19"/>
      <c r="H34" s="30"/>
      <c r="I34" s="19"/>
      <c r="J34" s="19"/>
      <c r="K34" s="19"/>
      <c r="L34" s="20"/>
    </row>
    <row r="35" spans="2:12" ht="16.5">
      <c r="B35" s="18"/>
      <c r="C35" s="70" t="s">
        <v>107</v>
      </c>
      <c r="D35" s="70"/>
      <c r="E35" s="70"/>
      <c r="F35" s="25" t="s">
        <v>84</v>
      </c>
      <c r="G35" s="19"/>
      <c r="H35" s="49">
        <f xml:space="preserve"> IF((AND($H$32 &lt;&gt;0,$H$32&lt;=5000)),0, $H$21*1500)</f>
        <v>1500</v>
      </c>
      <c r="I35" s="19"/>
      <c r="J35" s="67">
        <v>3000</v>
      </c>
      <c r="K35" s="68"/>
      <c r="L35" s="20"/>
    </row>
    <row r="36" spans="2:12" ht="16.5">
      <c r="B36" s="18"/>
      <c r="C36" s="19"/>
      <c r="D36" s="19"/>
      <c r="E36" s="19"/>
      <c r="F36" s="19"/>
      <c r="G36" s="19"/>
      <c r="H36" s="30"/>
      <c r="I36" s="19"/>
      <c r="J36" s="19"/>
      <c r="K36" s="19"/>
      <c r="L36" s="20"/>
    </row>
    <row r="37" spans="2:12" ht="16.5">
      <c r="B37" s="18"/>
      <c r="C37" s="70" t="s">
        <v>89</v>
      </c>
      <c r="D37" s="70"/>
      <c r="E37" s="70"/>
      <c r="F37" s="70"/>
      <c r="G37" s="70"/>
      <c r="H37" s="58">
        <v>3000</v>
      </c>
      <c r="I37" s="19"/>
      <c r="J37" s="67">
        <v>4000</v>
      </c>
      <c r="K37" s="68"/>
      <c r="L37" s="20"/>
    </row>
    <row r="38" spans="2:12" ht="16.5">
      <c r="B38" s="18"/>
      <c r="C38" s="23"/>
      <c r="D38" s="23"/>
      <c r="E38" s="23"/>
      <c r="F38" s="23"/>
      <c r="G38" s="23"/>
      <c r="H38" s="38"/>
      <c r="I38" s="19"/>
      <c r="J38" s="28"/>
      <c r="K38" s="28"/>
      <c r="L38" s="20"/>
    </row>
    <row r="39" spans="2:12" ht="17.25" thickBot="1">
      <c r="B39" s="18"/>
      <c r="C39" s="19"/>
      <c r="D39" s="19"/>
      <c r="E39" s="19"/>
      <c r="F39" s="19"/>
      <c r="G39" s="24" t="s">
        <v>91</v>
      </c>
      <c r="H39" s="59">
        <f>SUM(H30,H32,H35,H37)</f>
        <v>13500</v>
      </c>
      <c r="I39" s="19"/>
      <c r="J39" s="19"/>
      <c r="K39" s="19"/>
      <c r="L39" s="20"/>
    </row>
    <row r="40" spans="2:12">
      <c r="B40" s="18"/>
      <c r="C40" s="19"/>
      <c r="D40" s="19"/>
      <c r="E40" s="19"/>
      <c r="F40" s="19"/>
      <c r="G40" s="24"/>
      <c r="H40" s="19"/>
      <c r="I40" s="19"/>
      <c r="J40" s="19"/>
      <c r="K40" s="19"/>
      <c r="L40" s="20"/>
    </row>
    <row r="41" spans="2:12" ht="18">
      <c r="B41" s="18"/>
      <c r="C41" s="72" t="s">
        <v>53</v>
      </c>
      <c r="D41" s="72"/>
      <c r="E41" s="72"/>
      <c r="F41" s="72"/>
      <c r="G41" s="72"/>
      <c r="H41" s="72"/>
      <c r="I41" s="72"/>
      <c r="J41" s="72"/>
      <c r="K41" s="72"/>
      <c r="L41" s="20"/>
    </row>
    <row r="42" spans="2:12" ht="18">
      <c r="B42" s="18"/>
      <c r="C42" s="21"/>
      <c r="D42" s="21"/>
      <c r="E42" s="21"/>
      <c r="F42" s="21"/>
      <c r="G42" s="21"/>
      <c r="H42" s="22" t="s">
        <v>87</v>
      </c>
      <c r="I42" s="21"/>
      <c r="J42" s="81" t="s">
        <v>82</v>
      </c>
      <c r="K42" s="81"/>
      <c r="L42" s="20"/>
    </row>
    <row r="43" spans="2:12" ht="16.5">
      <c r="B43" s="18"/>
      <c r="C43" s="70" t="s">
        <v>54</v>
      </c>
      <c r="D43" s="70"/>
      <c r="E43" s="25" t="s">
        <v>83</v>
      </c>
      <c r="F43" s="19"/>
      <c r="G43" s="19"/>
      <c r="H43" s="37">
        <v>1200</v>
      </c>
      <c r="I43" s="19"/>
      <c r="J43" s="75">
        <v>7000</v>
      </c>
      <c r="K43" s="76"/>
      <c r="L43" s="20"/>
    </row>
    <row r="44" spans="2:12"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20"/>
    </row>
    <row r="45" spans="2:12" ht="18">
      <c r="B45" s="18"/>
      <c r="C45" s="72" t="s">
        <v>55</v>
      </c>
      <c r="D45" s="72"/>
      <c r="E45" s="72"/>
      <c r="F45" s="72"/>
      <c r="G45" s="72"/>
      <c r="H45" s="72"/>
      <c r="I45" s="72"/>
      <c r="J45" s="72"/>
      <c r="K45" s="72"/>
      <c r="L45" s="20"/>
    </row>
    <row r="46" spans="2:12" ht="18">
      <c r="B46" s="18"/>
      <c r="C46" s="21"/>
      <c r="D46" s="21"/>
      <c r="E46" s="21"/>
      <c r="F46" s="21"/>
      <c r="G46" s="21"/>
      <c r="H46" s="22" t="s">
        <v>87</v>
      </c>
      <c r="I46" s="21"/>
      <c r="J46" s="81" t="s">
        <v>82</v>
      </c>
      <c r="K46" s="81"/>
      <c r="L46" s="20"/>
    </row>
    <row r="47" spans="2:12" ht="16.5">
      <c r="B47" s="18"/>
      <c r="C47" s="70" t="s">
        <v>94</v>
      </c>
      <c r="D47" s="70"/>
      <c r="E47" s="70"/>
      <c r="F47" s="70"/>
      <c r="G47" s="71"/>
      <c r="H47" s="45">
        <v>500</v>
      </c>
      <c r="I47" s="19"/>
      <c r="J47" s="79">
        <v>500</v>
      </c>
      <c r="K47" s="80"/>
      <c r="L47" s="20"/>
    </row>
    <row r="48" spans="2:12" ht="16.5">
      <c r="B48" s="18"/>
      <c r="C48" s="23"/>
      <c r="D48" s="23"/>
      <c r="E48" s="23"/>
      <c r="F48" s="23"/>
      <c r="G48" s="23"/>
      <c r="H48" s="33"/>
      <c r="I48" s="19"/>
      <c r="J48" s="35"/>
      <c r="K48" s="35"/>
      <c r="L48" s="20"/>
    </row>
    <row r="49" spans="2:12" ht="16.5">
      <c r="B49" s="18"/>
      <c r="C49" s="70" t="s">
        <v>88</v>
      </c>
      <c r="D49" s="70"/>
      <c r="E49" s="70"/>
      <c r="F49" s="70"/>
      <c r="G49" s="25" t="s">
        <v>93</v>
      </c>
      <c r="H49" s="61">
        <v>3000</v>
      </c>
      <c r="I49" s="19"/>
      <c r="J49" s="73">
        <f>IF($H$47 &lt;=500, 6000-$H$47, 6000)</f>
        <v>5500</v>
      </c>
      <c r="K49" s="74"/>
      <c r="L49" s="20"/>
    </row>
    <row r="50" spans="2:12" ht="16.5">
      <c r="B50" s="18"/>
      <c r="C50" s="23"/>
      <c r="D50" s="23"/>
      <c r="E50" s="23"/>
      <c r="F50" s="23"/>
      <c r="G50" s="25"/>
      <c r="H50" s="33"/>
      <c r="I50" s="19"/>
      <c r="J50" s="28"/>
      <c r="K50" s="28"/>
      <c r="L50" s="20"/>
    </row>
    <row r="51" spans="2:12" ht="17.25" thickBot="1">
      <c r="B51" s="18"/>
      <c r="C51" s="23"/>
      <c r="D51" s="23"/>
      <c r="E51" s="23"/>
      <c r="F51" s="23"/>
      <c r="G51" s="24" t="s">
        <v>91</v>
      </c>
      <c r="H51" s="59">
        <f>SUM(H47,H49)</f>
        <v>3500</v>
      </c>
      <c r="I51" s="19"/>
      <c r="J51" s="28"/>
      <c r="K51" s="28"/>
      <c r="L51" s="20"/>
    </row>
    <row r="52" spans="2:12" ht="16.5">
      <c r="B52" s="18"/>
      <c r="C52" s="23"/>
      <c r="D52" s="23"/>
      <c r="E52" s="23"/>
      <c r="F52" s="23"/>
      <c r="G52" s="25"/>
      <c r="H52" s="39"/>
      <c r="I52" s="19"/>
      <c r="J52" s="34"/>
      <c r="K52" s="34"/>
      <c r="L52" s="20"/>
    </row>
    <row r="53" spans="2:12" ht="18">
      <c r="B53" s="18"/>
      <c r="C53" s="72" t="s">
        <v>56</v>
      </c>
      <c r="D53" s="72"/>
      <c r="E53" s="72"/>
      <c r="F53" s="72"/>
      <c r="G53" s="72"/>
      <c r="H53" s="72"/>
      <c r="I53" s="72"/>
      <c r="J53" s="72"/>
      <c r="K53" s="72"/>
      <c r="L53" s="20"/>
    </row>
    <row r="54" spans="2:12">
      <c r="B54" s="18"/>
      <c r="C54" s="19" t="s">
        <v>63</v>
      </c>
      <c r="D54" s="19"/>
      <c r="E54" s="19"/>
      <c r="F54" s="19"/>
      <c r="G54" s="19"/>
      <c r="H54" s="19"/>
      <c r="I54" s="19"/>
      <c r="J54" s="19"/>
      <c r="K54" s="19"/>
      <c r="L54" s="20"/>
    </row>
    <row r="55" spans="2:12">
      <c r="B55" s="18"/>
      <c r="C55" s="19"/>
      <c r="D55" s="19"/>
      <c r="E55" s="19"/>
      <c r="F55" s="19"/>
      <c r="G55" s="19"/>
      <c r="H55" s="22" t="s">
        <v>87</v>
      </c>
      <c r="I55" s="19"/>
      <c r="J55" s="69" t="s">
        <v>82</v>
      </c>
      <c r="K55" s="69"/>
      <c r="L55" s="20"/>
    </row>
    <row r="56" spans="2:12">
      <c r="B56" s="18"/>
      <c r="C56" s="24" t="s">
        <v>57</v>
      </c>
      <c r="D56" s="19"/>
      <c r="E56" s="19"/>
      <c r="F56" s="19"/>
      <c r="G56" s="19"/>
      <c r="H56" s="19"/>
      <c r="I56" s="19"/>
      <c r="J56" s="19"/>
      <c r="K56" s="19"/>
      <c r="L56" s="20"/>
    </row>
    <row r="57" spans="2:12" ht="16.5">
      <c r="B57" s="18"/>
      <c r="C57" s="19" t="s">
        <v>58</v>
      </c>
      <c r="D57" s="19"/>
      <c r="E57" s="25" t="s">
        <v>83</v>
      </c>
      <c r="F57" s="19"/>
      <c r="G57" s="19"/>
      <c r="H57" s="37">
        <v>500</v>
      </c>
      <c r="I57" s="19"/>
      <c r="J57" s="67" t="s">
        <v>13</v>
      </c>
      <c r="K57" s="68"/>
      <c r="L57" s="20"/>
    </row>
    <row r="58" spans="2:12" ht="16.5">
      <c r="B58" s="18"/>
      <c r="C58" s="70" t="s">
        <v>95</v>
      </c>
      <c r="D58" s="70"/>
      <c r="E58" s="70"/>
      <c r="F58" s="70"/>
      <c r="G58" s="71"/>
      <c r="H58" s="37">
        <v>1500</v>
      </c>
      <c r="I58" s="19"/>
      <c r="J58" s="75" t="s">
        <v>13</v>
      </c>
      <c r="K58" s="76"/>
      <c r="L58" s="20"/>
    </row>
    <row r="59" spans="2:12" ht="16.5">
      <c r="B59" s="18"/>
      <c r="C59" s="19" t="s">
        <v>59</v>
      </c>
      <c r="D59" s="19"/>
      <c r="E59" s="25" t="s">
        <v>83</v>
      </c>
      <c r="F59" s="19"/>
      <c r="G59" s="19"/>
      <c r="H59" s="37">
        <v>60</v>
      </c>
      <c r="I59" s="19"/>
      <c r="J59" s="75" t="s">
        <v>13</v>
      </c>
      <c r="K59" s="76"/>
      <c r="L59" s="20"/>
    </row>
    <row r="60" spans="2:12" ht="16.5">
      <c r="B60" s="18"/>
      <c r="C60" s="23" t="s">
        <v>96</v>
      </c>
      <c r="D60" s="23"/>
      <c r="E60" s="23"/>
      <c r="F60" s="23"/>
      <c r="G60" s="23"/>
      <c r="H60" s="37">
        <v>80</v>
      </c>
      <c r="I60" s="19"/>
      <c r="J60" s="75" t="s">
        <v>13</v>
      </c>
      <c r="K60" s="76"/>
      <c r="L60" s="20"/>
    </row>
    <row r="61" spans="2:12" ht="16.5">
      <c r="B61" s="18"/>
      <c r="C61" s="23"/>
      <c r="D61" s="23"/>
      <c r="E61" s="23"/>
      <c r="F61" s="23"/>
      <c r="G61" s="23"/>
      <c r="H61" s="30"/>
      <c r="I61" s="19"/>
      <c r="J61" s="28"/>
      <c r="K61" s="28"/>
      <c r="L61" s="20"/>
    </row>
    <row r="62" spans="2:12" ht="17.25" thickBot="1">
      <c r="B62" s="18"/>
      <c r="C62" s="23"/>
      <c r="D62" s="23"/>
      <c r="E62" s="23"/>
      <c r="F62" s="23"/>
      <c r="G62" s="23"/>
      <c r="H62" s="62">
        <f>SUM(H57,H58,H59,H60)</f>
        <v>2140</v>
      </c>
      <c r="I62" s="19"/>
      <c r="J62" s="77">
        <v>2500</v>
      </c>
      <c r="K62" s="77"/>
      <c r="L62" s="20"/>
    </row>
    <row r="63" spans="2:12" ht="17.25" thickTop="1">
      <c r="B63" s="18"/>
      <c r="C63" s="23"/>
      <c r="D63" s="23"/>
      <c r="E63" s="23"/>
      <c r="F63" s="23"/>
      <c r="G63" s="23"/>
      <c r="H63" s="30"/>
      <c r="I63" s="19"/>
      <c r="J63" s="29"/>
      <c r="K63" s="29"/>
      <c r="L63" s="20"/>
    </row>
    <row r="64" spans="2:12" ht="16.5">
      <c r="B64" s="18"/>
      <c r="C64" s="70" t="s">
        <v>97</v>
      </c>
      <c r="D64" s="70"/>
      <c r="E64" s="70"/>
      <c r="F64" s="70"/>
      <c r="G64" s="71"/>
      <c r="H64" s="37">
        <v>1500</v>
      </c>
      <c r="I64" s="19"/>
      <c r="J64" s="75" t="s">
        <v>13</v>
      </c>
      <c r="K64" s="76"/>
      <c r="L64" s="20"/>
    </row>
    <row r="65" spans="2:12" ht="16.5">
      <c r="B65" s="18"/>
      <c r="C65" s="70" t="s">
        <v>98</v>
      </c>
      <c r="D65" s="70"/>
      <c r="E65" s="70"/>
      <c r="F65" s="70"/>
      <c r="G65" s="71"/>
      <c r="H65" s="37">
        <v>800</v>
      </c>
      <c r="I65" s="19"/>
      <c r="J65" s="75" t="s">
        <v>13</v>
      </c>
      <c r="K65" s="76"/>
      <c r="L65" s="20"/>
    </row>
    <row r="66" spans="2:12" ht="16.5">
      <c r="B66" s="18"/>
      <c r="C66" s="19" t="s">
        <v>60</v>
      </c>
      <c r="D66" s="25" t="s">
        <v>86</v>
      </c>
      <c r="E66" s="19"/>
      <c r="F66" s="19"/>
      <c r="G66" s="19"/>
      <c r="H66" s="37">
        <v>0</v>
      </c>
      <c r="I66" s="19"/>
      <c r="J66" s="75" t="s">
        <v>13</v>
      </c>
      <c r="K66" s="76"/>
      <c r="L66" s="20"/>
    </row>
    <row r="67" spans="2:12" ht="16.5">
      <c r="B67" s="18"/>
      <c r="C67" s="19"/>
      <c r="D67" s="25"/>
      <c r="E67" s="19"/>
      <c r="F67" s="19"/>
      <c r="G67" s="19"/>
      <c r="H67" s="30"/>
      <c r="I67" s="19"/>
      <c r="J67" s="28"/>
      <c r="K67" s="28"/>
      <c r="L67" s="20"/>
    </row>
    <row r="68" spans="2:12" ht="17.25" thickBot="1">
      <c r="B68" s="18"/>
      <c r="C68" s="19"/>
      <c r="D68" s="25"/>
      <c r="E68" s="19"/>
      <c r="F68" s="19"/>
      <c r="G68" s="16"/>
      <c r="H68" s="62">
        <f>SUM(H64:H66)</f>
        <v>2300</v>
      </c>
      <c r="I68" s="16"/>
      <c r="J68" s="77">
        <v>2500</v>
      </c>
      <c r="K68" s="77"/>
      <c r="L68" s="20"/>
    </row>
    <row r="69" spans="2:12" ht="17.25" thickTop="1">
      <c r="B69" s="18"/>
      <c r="C69" s="19"/>
      <c r="D69" s="19"/>
      <c r="E69" s="19"/>
      <c r="F69" s="19"/>
      <c r="G69" s="19"/>
      <c r="H69" s="30"/>
      <c r="I69" s="19"/>
      <c r="J69" s="19"/>
      <c r="K69" s="19"/>
      <c r="L69" s="20"/>
    </row>
    <row r="70" spans="2:12" ht="16.5">
      <c r="B70" s="18"/>
      <c r="C70" s="19" t="s">
        <v>81</v>
      </c>
      <c r="D70" s="19"/>
      <c r="E70" s="19"/>
      <c r="F70" s="19"/>
      <c r="G70" s="25" t="s">
        <v>90</v>
      </c>
      <c r="H70" s="37">
        <v>300</v>
      </c>
      <c r="I70" s="19"/>
      <c r="J70" s="67">
        <v>1000</v>
      </c>
      <c r="K70" s="68"/>
      <c r="L70" s="20"/>
    </row>
    <row r="71" spans="2:12"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20"/>
    </row>
    <row r="72" spans="2:12" ht="17.25" thickBot="1">
      <c r="B72" s="18"/>
      <c r="C72" s="19"/>
      <c r="D72" s="19"/>
      <c r="E72" s="19"/>
      <c r="F72" s="19"/>
      <c r="G72" s="24" t="s">
        <v>92</v>
      </c>
      <c r="H72" s="59">
        <f>SUM(H62,H68,H70)</f>
        <v>4740</v>
      </c>
      <c r="I72" s="19"/>
      <c r="J72" s="19"/>
      <c r="K72" s="19"/>
      <c r="L72" s="20"/>
    </row>
    <row r="73" spans="2:12"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20"/>
    </row>
    <row r="74" spans="2:12" ht="18">
      <c r="B74" s="18"/>
      <c r="C74" s="72" t="s">
        <v>61</v>
      </c>
      <c r="D74" s="72"/>
      <c r="E74" s="72"/>
      <c r="F74" s="72"/>
      <c r="G74" s="72"/>
      <c r="H74" s="72"/>
      <c r="I74" s="72"/>
      <c r="J74" s="72"/>
      <c r="K74" s="72"/>
      <c r="L74" s="20"/>
    </row>
    <row r="75" spans="2:12" ht="18">
      <c r="B75" s="18"/>
      <c r="C75" s="21"/>
      <c r="D75" s="21"/>
      <c r="E75" s="21"/>
      <c r="F75" s="21"/>
      <c r="G75" s="21"/>
      <c r="H75" s="22" t="s">
        <v>87</v>
      </c>
      <c r="I75" s="21"/>
      <c r="J75" s="69" t="s">
        <v>82</v>
      </c>
      <c r="K75" s="69"/>
      <c r="L75" s="20"/>
    </row>
    <row r="76" spans="2:12" ht="16.5">
      <c r="B76" s="18"/>
      <c r="C76" s="70" t="s">
        <v>62</v>
      </c>
      <c r="D76" s="70"/>
      <c r="E76" s="70"/>
      <c r="F76" s="25" t="s">
        <v>84</v>
      </c>
      <c r="G76" s="19"/>
      <c r="H76" s="37">
        <v>500</v>
      </c>
      <c r="I76" s="19"/>
      <c r="J76" s="67">
        <v>1000</v>
      </c>
      <c r="K76" s="68"/>
      <c r="L76" s="20"/>
    </row>
    <row r="77" spans="2:12">
      <c r="B77" s="18"/>
      <c r="C77" s="19"/>
      <c r="D77" s="19"/>
      <c r="E77" s="19"/>
      <c r="F77" s="19"/>
      <c r="G77" s="19"/>
      <c r="H77" s="19"/>
      <c r="I77" s="19"/>
      <c r="J77" s="19"/>
      <c r="K77" s="19"/>
      <c r="L77" s="20"/>
    </row>
    <row r="78" spans="2:12" ht="16.5">
      <c r="B78" s="18"/>
      <c r="C78" s="19" t="s">
        <v>64</v>
      </c>
      <c r="D78" s="19"/>
      <c r="E78" s="25" t="s">
        <v>83</v>
      </c>
      <c r="F78" s="19"/>
      <c r="G78" s="19"/>
      <c r="H78" s="37">
        <v>2500</v>
      </c>
      <c r="I78" s="19"/>
      <c r="J78" s="67">
        <v>3000</v>
      </c>
      <c r="K78" s="68"/>
      <c r="L78" s="20"/>
    </row>
    <row r="79" spans="2:12"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20"/>
    </row>
    <row r="80" spans="2:12" ht="16.5">
      <c r="B80" s="18"/>
      <c r="C80" s="70" t="s">
        <v>99</v>
      </c>
      <c r="D80" s="70"/>
      <c r="E80" s="70"/>
      <c r="F80" s="70"/>
      <c r="G80" s="71"/>
      <c r="H80" s="41">
        <v>2000</v>
      </c>
      <c r="I80" s="19"/>
      <c r="J80" s="67">
        <v>8000</v>
      </c>
      <c r="K80" s="68"/>
      <c r="L80" s="20"/>
    </row>
    <row r="81" spans="2:12">
      <c r="B81" s="18"/>
      <c r="C81" s="19"/>
      <c r="D81" s="19"/>
      <c r="E81" s="19"/>
      <c r="F81" s="19"/>
      <c r="G81" s="19"/>
      <c r="H81" s="36"/>
      <c r="I81" s="19"/>
      <c r="J81" s="19"/>
      <c r="K81" s="19"/>
      <c r="L81" s="20"/>
    </row>
    <row r="82" spans="2:12" ht="16.5">
      <c r="B82" s="18"/>
      <c r="C82" s="70" t="s">
        <v>65</v>
      </c>
      <c r="D82" s="70"/>
      <c r="E82" s="25" t="s">
        <v>83</v>
      </c>
      <c r="F82" s="19"/>
      <c r="G82" s="19"/>
      <c r="H82" s="31">
        <f>$H$12*$J$82</f>
        <v>8000</v>
      </c>
      <c r="I82" s="19"/>
      <c r="J82" s="67">
        <v>2000</v>
      </c>
      <c r="K82" s="68"/>
      <c r="L82" s="20"/>
    </row>
    <row r="83" spans="2:12">
      <c r="B83" s="18"/>
      <c r="C83" s="19"/>
      <c r="D83" s="19"/>
      <c r="E83" s="19"/>
      <c r="F83" s="19"/>
      <c r="G83" s="19"/>
      <c r="H83" s="19"/>
      <c r="I83" s="19"/>
      <c r="J83" s="19"/>
      <c r="K83" s="19"/>
      <c r="L83" s="20"/>
    </row>
    <row r="84" spans="2:12" ht="16.5">
      <c r="B84" s="18"/>
      <c r="C84" s="19" t="s">
        <v>80</v>
      </c>
      <c r="D84" s="19"/>
      <c r="E84" s="19"/>
      <c r="F84" s="19"/>
      <c r="G84" s="25" t="s">
        <v>90</v>
      </c>
      <c r="H84" s="44">
        <f>$I$14 * $J$84</f>
        <v>4000</v>
      </c>
      <c r="I84" s="19"/>
      <c r="J84" s="67">
        <v>2000</v>
      </c>
      <c r="K84" s="68"/>
      <c r="L84" s="20"/>
    </row>
    <row r="85" spans="2:12">
      <c r="B85" s="18"/>
      <c r="C85" s="19"/>
      <c r="D85" s="19"/>
      <c r="E85" s="19"/>
      <c r="F85" s="19"/>
      <c r="G85" s="19"/>
      <c r="H85" s="19"/>
      <c r="I85" s="19"/>
      <c r="J85" s="19"/>
      <c r="K85" s="19"/>
      <c r="L85" s="20"/>
    </row>
    <row r="86" spans="2:12" ht="16.5">
      <c r="B86" s="18"/>
      <c r="C86" s="19" t="s">
        <v>79</v>
      </c>
      <c r="D86" s="19"/>
      <c r="E86" s="19"/>
      <c r="F86" s="25" t="s">
        <v>100</v>
      </c>
      <c r="G86" s="19"/>
      <c r="H86" s="44">
        <f>$K$14 *8000</f>
        <v>16000</v>
      </c>
      <c r="I86" s="19"/>
      <c r="J86" s="67">
        <v>8000</v>
      </c>
      <c r="K86" s="68"/>
      <c r="L86" s="20"/>
    </row>
    <row r="87" spans="2:12">
      <c r="B87" s="18"/>
      <c r="C87" s="19"/>
      <c r="D87" s="19"/>
      <c r="E87" s="19"/>
      <c r="F87" s="19"/>
      <c r="G87" s="19"/>
      <c r="H87" s="19"/>
      <c r="I87" s="19"/>
      <c r="J87" s="19"/>
      <c r="K87" s="19"/>
      <c r="L87" s="20"/>
    </row>
    <row r="88" spans="2:12" ht="17.25" thickBot="1">
      <c r="B88" s="18"/>
      <c r="C88" s="19"/>
      <c r="D88" s="19"/>
      <c r="E88" s="19"/>
      <c r="F88" s="19"/>
      <c r="G88" s="24" t="s">
        <v>92</v>
      </c>
      <c r="H88" s="59">
        <f>SUM(H76,H78,H80,H82,H84,H86)</f>
        <v>33000</v>
      </c>
      <c r="I88" s="19"/>
      <c r="J88" s="19"/>
      <c r="K88" s="19"/>
      <c r="L88" s="20"/>
    </row>
    <row r="89" spans="2:12">
      <c r="B89" s="18"/>
      <c r="C89" s="19"/>
      <c r="D89" s="19"/>
      <c r="E89" s="19"/>
      <c r="F89" s="19"/>
      <c r="G89" s="19"/>
      <c r="H89" s="19"/>
      <c r="I89" s="19"/>
      <c r="J89" s="19"/>
      <c r="K89" s="19"/>
      <c r="L89" s="20"/>
    </row>
    <row r="90" spans="2:12" ht="18">
      <c r="B90" s="18"/>
      <c r="C90" s="72" t="s">
        <v>66</v>
      </c>
      <c r="D90" s="72"/>
      <c r="E90" s="72"/>
      <c r="F90" s="72"/>
      <c r="G90" s="72"/>
      <c r="H90" s="72"/>
      <c r="I90" s="72"/>
      <c r="J90" s="72"/>
      <c r="K90" s="72"/>
      <c r="L90" s="20"/>
    </row>
    <row r="91" spans="2:12" ht="18">
      <c r="B91" s="18"/>
      <c r="C91" s="21"/>
      <c r="D91" s="21"/>
      <c r="E91" s="21"/>
      <c r="F91" s="21"/>
      <c r="G91" s="21"/>
      <c r="H91" s="22" t="s">
        <v>87</v>
      </c>
      <c r="I91" s="21"/>
      <c r="J91" s="69" t="s">
        <v>82</v>
      </c>
      <c r="K91" s="69"/>
      <c r="L91" s="20"/>
    </row>
    <row r="92" spans="2:12">
      <c r="B92" s="18"/>
      <c r="C92" s="24" t="s">
        <v>102</v>
      </c>
      <c r="D92" s="19"/>
      <c r="E92" s="19"/>
      <c r="F92" s="19"/>
      <c r="G92" s="19"/>
      <c r="H92" s="19"/>
      <c r="I92" s="19"/>
      <c r="J92" s="19"/>
      <c r="K92" s="19"/>
      <c r="L92" s="20"/>
    </row>
    <row r="93" spans="2:12" ht="16.5">
      <c r="B93" s="18"/>
      <c r="C93" s="19" t="s">
        <v>103</v>
      </c>
      <c r="D93" s="19"/>
      <c r="E93" s="25" t="s">
        <v>83</v>
      </c>
      <c r="F93" s="19"/>
      <c r="G93" s="19"/>
      <c r="H93" s="37">
        <v>5000</v>
      </c>
      <c r="I93" s="19"/>
      <c r="J93" s="67">
        <v>7000</v>
      </c>
      <c r="K93" s="68"/>
      <c r="L93" s="20"/>
    </row>
    <row r="94" spans="2:12" ht="16.5">
      <c r="B94" s="18"/>
      <c r="C94" s="32" t="s">
        <v>68</v>
      </c>
      <c r="D94" s="19"/>
      <c r="E94" s="19"/>
      <c r="F94" s="19"/>
      <c r="G94" s="19"/>
      <c r="H94" s="63" t="s">
        <v>111</v>
      </c>
      <c r="I94" s="19"/>
      <c r="J94" s="19"/>
      <c r="K94" s="19"/>
      <c r="L94" s="20"/>
    </row>
    <row r="95" spans="2:12" ht="16.5">
      <c r="B95" s="18"/>
      <c r="C95" s="19" t="s">
        <v>69</v>
      </c>
      <c r="D95" s="19"/>
      <c r="E95" s="25" t="s">
        <v>83</v>
      </c>
      <c r="F95" s="19"/>
      <c r="G95" s="19"/>
      <c r="H95" s="37"/>
      <c r="I95" s="19"/>
      <c r="J95" s="67">
        <v>3000</v>
      </c>
      <c r="K95" s="68"/>
      <c r="L95" s="20"/>
    </row>
    <row r="96" spans="2:12" ht="16.5">
      <c r="B96" s="18"/>
      <c r="C96" s="19" t="s">
        <v>70</v>
      </c>
      <c r="D96" s="25" t="s">
        <v>86</v>
      </c>
      <c r="E96" s="19"/>
      <c r="F96" s="19"/>
      <c r="G96" s="19"/>
      <c r="H96" s="37"/>
      <c r="I96" s="19"/>
      <c r="J96" s="67">
        <v>4000</v>
      </c>
      <c r="K96" s="68"/>
      <c r="L96" s="20"/>
    </row>
    <row r="97" spans="2:12" ht="16.5">
      <c r="B97" s="18"/>
      <c r="C97" s="19"/>
      <c r="D97" s="19"/>
      <c r="E97" s="19"/>
      <c r="F97" s="19"/>
      <c r="G97" s="19"/>
      <c r="H97" s="30"/>
      <c r="I97" s="19"/>
      <c r="J97" s="19"/>
      <c r="K97" s="19"/>
      <c r="L97" s="20"/>
    </row>
    <row r="98" spans="2:12" ht="16.5">
      <c r="B98" s="18"/>
      <c r="C98" s="19" t="s">
        <v>71</v>
      </c>
      <c r="D98" s="19"/>
      <c r="E98" s="19"/>
      <c r="F98" s="25" t="s">
        <v>84</v>
      </c>
      <c r="G98" s="19"/>
      <c r="H98" s="37">
        <v>2000</v>
      </c>
      <c r="I98" s="19"/>
      <c r="J98" s="67">
        <v>3000</v>
      </c>
      <c r="K98" s="68"/>
      <c r="L98" s="20"/>
    </row>
    <row r="99" spans="2:12" ht="16.5">
      <c r="B99" s="18"/>
      <c r="C99" s="19"/>
      <c r="D99" s="19"/>
      <c r="E99" s="19"/>
      <c r="F99" s="19"/>
      <c r="G99" s="19"/>
      <c r="H99" s="30"/>
      <c r="I99" s="19"/>
      <c r="J99" s="19"/>
      <c r="K99" s="19"/>
      <c r="L99" s="20"/>
    </row>
    <row r="100" spans="2:12" ht="16.5">
      <c r="B100" s="18"/>
      <c r="C100" s="19" t="s">
        <v>72</v>
      </c>
      <c r="D100" s="19"/>
      <c r="E100" s="19"/>
      <c r="F100" s="19"/>
      <c r="G100" s="25" t="s">
        <v>93</v>
      </c>
      <c r="H100" s="37">
        <v>1800</v>
      </c>
      <c r="I100" s="19"/>
      <c r="J100" s="67">
        <v>3000</v>
      </c>
      <c r="K100" s="68"/>
      <c r="L100" s="20"/>
    </row>
    <row r="101" spans="2:12" ht="16.5">
      <c r="B101" s="18"/>
      <c r="C101" s="19"/>
      <c r="D101" s="19"/>
      <c r="E101" s="19"/>
      <c r="F101" s="19"/>
      <c r="G101" s="19"/>
      <c r="H101" s="30"/>
      <c r="I101" s="19"/>
      <c r="J101" s="19"/>
      <c r="K101" s="19"/>
      <c r="L101" s="20"/>
    </row>
    <row r="102" spans="2:12" ht="16.5">
      <c r="B102" s="18"/>
      <c r="C102" s="19" t="s">
        <v>73</v>
      </c>
      <c r="D102" s="25" t="s">
        <v>85</v>
      </c>
      <c r="E102" s="19"/>
      <c r="F102" s="19"/>
      <c r="G102" s="19"/>
      <c r="H102" s="37">
        <v>250</v>
      </c>
      <c r="I102" s="19"/>
      <c r="J102" s="67">
        <v>250</v>
      </c>
      <c r="K102" s="68"/>
      <c r="L102" s="20"/>
    </row>
    <row r="103" spans="2:12">
      <c r="B103" s="18"/>
      <c r="C103" s="19"/>
      <c r="D103" s="19"/>
      <c r="E103" s="19"/>
      <c r="F103" s="19"/>
      <c r="G103" s="19"/>
      <c r="H103" s="19"/>
      <c r="I103" s="19"/>
      <c r="J103" s="19"/>
      <c r="K103" s="19"/>
      <c r="L103" s="20"/>
    </row>
    <row r="104" spans="2:12" ht="17.25" thickBot="1">
      <c r="B104" s="18"/>
      <c r="C104" s="19"/>
      <c r="D104" s="19"/>
      <c r="E104" s="19"/>
      <c r="F104" s="19"/>
      <c r="G104" s="24" t="s">
        <v>92</v>
      </c>
      <c r="H104" s="59">
        <f>SUM(H93,H95,H96,H98,H100,H102)</f>
        <v>9050</v>
      </c>
      <c r="I104" s="19"/>
      <c r="J104" s="19"/>
      <c r="K104" s="19"/>
      <c r="L104" s="20"/>
    </row>
    <row r="105" spans="2:12">
      <c r="B105" s="18"/>
      <c r="C105" s="19"/>
      <c r="D105" s="19"/>
      <c r="E105" s="19"/>
      <c r="F105" s="19"/>
      <c r="G105" s="19"/>
      <c r="H105" s="19"/>
      <c r="I105" s="19"/>
      <c r="J105" s="19"/>
      <c r="K105" s="19"/>
      <c r="L105" s="20"/>
    </row>
    <row r="106" spans="2:12" ht="18">
      <c r="B106" s="18"/>
      <c r="C106" s="72" t="s">
        <v>74</v>
      </c>
      <c r="D106" s="72"/>
      <c r="E106" s="72"/>
      <c r="F106" s="72"/>
      <c r="G106" s="72"/>
      <c r="H106" s="72"/>
      <c r="I106" s="72"/>
      <c r="J106" s="72"/>
      <c r="K106" s="72"/>
      <c r="L106" s="20"/>
    </row>
    <row r="107" spans="2:12" ht="18">
      <c r="B107" s="18"/>
      <c r="C107" s="21"/>
      <c r="D107" s="21"/>
      <c r="E107" s="21"/>
      <c r="F107" s="21"/>
      <c r="G107" s="21"/>
      <c r="H107" s="22" t="s">
        <v>87</v>
      </c>
      <c r="I107" s="21"/>
      <c r="J107" s="69" t="s">
        <v>82</v>
      </c>
      <c r="K107" s="69"/>
      <c r="L107" s="20"/>
    </row>
    <row r="108" spans="2:12" ht="16.5">
      <c r="B108" s="18"/>
      <c r="C108" s="19" t="s">
        <v>75</v>
      </c>
      <c r="D108" s="19"/>
      <c r="E108" s="19"/>
      <c r="F108" s="25" t="s">
        <v>84</v>
      </c>
      <c r="G108" s="19"/>
      <c r="H108" s="49">
        <v>6000</v>
      </c>
      <c r="I108" s="19"/>
      <c r="J108" s="67">
        <v>6000</v>
      </c>
      <c r="K108" s="68"/>
      <c r="L108" s="20"/>
    </row>
    <row r="109" spans="2:12" ht="16.5">
      <c r="B109" s="18"/>
      <c r="C109" s="19"/>
      <c r="D109" s="19"/>
      <c r="E109" s="19"/>
      <c r="F109" s="19"/>
      <c r="G109" s="19"/>
      <c r="H109" s="30"/>
      <c r="I109" s="19"/>
      <c r="J109" s="19"/>
      <c r="K109" s="19"/>
      <c r="L109" s="20"/>
    </row>
    <row r="110" spans="2:12" ht="16.5">
      <c r="B110" s="18"/>
      <c r="C110" s="19" t="s">
        <v>76</v>
      </c>
      <c r="D110" s="19"/>
      <c r="E110" s="25" t="s">
        <v>83</v>
      </c>
      <c r="F110" s="19"/>
      <c r="G110" s="19"/>
      <c r="H110" s="49">
        <v>3500</v>
      </c>
      <c r="I110" s="19"/>
      <c r="J110" s="67">
        <v>3500</v>
      </c>
      <c r="K110" s="68"/>
      <c r="L110" s="20"/>
    </row>
    <row r="111" spans="2:12" ht="16.5">
      <c r="B111" s="18"/>
      <c r="C111" s="19"/>
      <c r="D111" s="19"/>
      <c r="E111" s="19"/>
      <c r="F111" s="19"/>
      <c r="G111" s="19"/>
      <c r="H111" s="30"/>
      <c r="I111" s="19"/>
      <c r="J111" s="19"/>
      <c r="K111" s="19"/>
      <c r="L111" s="20"/>
    </row>
    <row r="112" spans="2:12" ht="16.5">
      <c r="B112" s="18"/>
      <c r="C112" s="19" t="s">
        <v>77</v>
      </c>
      <c r="D112" s="19"/>
      <c r="E112" s="25" t="s">
        <v>83</v>
      </c>
      <c r="F112" s="19"/>
      <c r="G112" s="19"/>
      <c r="H112" s="49">
        <f>$H$19 * $J$112</f>
        <v>18000</v>
      </c>
      <c r="I112" s="19"/>
      <c r="J112" s="67">
        <v>6000</v>
      </c>
      <c r="K112" s="68"/>
      <c r="L112" s="20"/>
    </row>
    <row r="113" spans="2:12" ht="16.5">
      <c r="B113" s="18"/>
      <c r="C113" s="19"/>
      <c r="D113" s="19"/>
      <c r="E113" s="19"/>
      <c r="F113" s="19"/>
      <c r="G113" s="19"/>
      <c r="H113" s="30"/>
      <c r="I113" s="19"/>
      <c r="J113" s="19"/>
      <c r="K113" s="19"/>
      <c r="L113" s="20"/>
    </row>
    <row r="114" spans="2:12" ht="16.5">
      <c r="B114" s="18"/>
      <c r="C114" s="19" t="s">
        <v>78</v>
      </c>
      <c r="D114" s="19"/>
      <c r="E114" s="19"/>
      <c r="F114" s="25" t="s">
        <v>84</v>
      </c>
      <c r="G114" s="19"/>
      <c r="H114" s="37">
        <v>3000</v>
      </c>
      <c r="I114" s="19"/>
      <c r="J114" s="67">
        <v>6000</v>
      </c>
      <c r="K114" s="68"/>
      <c r="L114" s="20"/>
    </row>
    <row r="115" spans="2:12" ht="16.5">
      <c r="B115" s="18"/>
      <c r="C115" s="19"/>
      <c r="D115" s="19"/>
      <c r="E115" s="19"/>
      <c r="F115" s="19"/>
      <c r="G115" s="19"/>
      <c r="H115" s="30"/>
      <c r="I115" s="19"/>
      <c r="J115" s="19"/>
      <c r="K115" s="19"/>
      <c r="L115" s="20"/>
    </row>
    <row r="116" spans="2:12" ht="16.5">
      <c r="B116" s="18"/>
      <c r="C116" s="19" t="s">
        <v>101</v>
      </c>
      <c r="D116" s="19"/>
      <c r="E116" s="19"/>
      <c r="F116" s="19"/>
      <c r="G116" s="19"/>
      <c r="H116" s="30"/>
      <c r="I116" s="19"/>
      <c r="J116" s="19"/>
      <c r="K116" s="19"/>
      <c r="L116" s="20"/>
    </row>
    <row r="117" spans="2:12" ht="16.5">
      <c r="B117" s="18"/>
      <c r="C117" s="70" t="s">
        <v>104</v>
      </c>
      <c r="D117" s="70"/>
      <c r="E117" s="70"/>
      <c r="F117" s="70"/>
      <c r="G117" s="71"/>
      <c r="H117" s="37">
        <v>3300</v>
      </c>
      <c r="I117" s="19"/>
      <c r="J117" s="67">
        <v>8000</v>
      </c>
      <c r="K117" s="68"/>
      <c r="L117" s="20"/>
    </row>
    <row r="118" spans="2:12" ht="16.5">
      <c r="B118" s="18"/>
      <c r="C118" s="23"/>
      <c r="D118" s="23"/>
      <c r="E118" s="23"/>
      <c r="F118" s="23"/>
      <c r="G118" s="23"/>
      <c r="H118" s="40"/>
      <c r="I118" s="19"/>
      <c r="J118" s="28"/>
      <c r="K118" s="28"/>
      <c r="L118" s="20"/>
    </row>
    <row r="119" spans="2:12" ht="17.25" thickBot="1">
      <c r="B119" s="18"/>
      <c r="C119" s="23"/>
      <c r="D119" s="23"/>
      <c r="E119" s="23"/>
      <c r="F119" s="23"/>
      <c r="G119" s="24" t="s">
        <v>92</v>
      </c>
      <c r="H119" s="42">
        <f>SUM(H108,H110,H112,H114,H117)</f>
        <v>33800</v>
      </c>
      <c r="I119" s="19"/>
      <c r="J119" s="28"/>
      <c r="K119" s="28"/>
      <c r="L119" s="20"/>
    </row>
    <row r="120" spans="2:12">
      <c r="B120" s="18"/>
      <c r="C120" s="19"/>
      <c r="D120" s="19"/>
      <c r="E120" s="19"/>
      <c r="F120" s="19"/>
      <c r="G120" s="19"/>
      <c r="H120" s="19"/>
      <c r="I120" s="19"/>
      <c r="J120" s="19"/>
      <c r="K120" s="19"/>
      <c r="L120" s="20"/>
    </row>
    <row r="121" spans="2:12">
      <c r="B121" s="18"/>
      <c r="C121" s="19"/>
      <c r="D121" s="19"/>
      <c r="E121" s="19"/>
      <c r="F121" s="19"/>
      <c r="G121" s="19"/>
      <c r="H121" s="19"/>
      <c r="I121" s="19"/>
      <c r="J121" s="19"/>
      <c r="K121" s="19"/>
      <c r="L121" s="20"/>
    </row>
    <row r="122" spans="2:12" ht="16.5">
      <c r="B122" s="18"/>
      <c r="C122" s="57"/>
      <c r="D122" s="57"/>
      <c r="E122" s="57"/>
      <c r="F122" s="46"/>
      <c r="G122" s="94" t="s">
        <v>108</v>
      </c>
      <c r="H122" s="94"/>
      <c r="I122" s="95"/>
      <c r="J122" s="92">
        <f>SUM(H39,H43,H51,H72,H88,H104,H119)</f>
        <v>98790</v>
      </c>
      <c r="K122" s="93"/>
      <c r="L122" s="20"/>
    </row>
    <row r="123" spans="2:12" ht="16.5">
      <c r="B123" s="18"/>
      <c r="C123" s="57"/>
      <c r="D123" s="57"/>
      <c r="E123" s="57"/>
      <c r="F123" s="105" t="s">
        <v>109</v>
      </c>
      <c r="G123" s="105"/>
      <c r="H123" s="105"/>
      <c r="I123" s="106"/>
      <c r="J123" s="103">
        <f>$I$6 -$J$122</f>
        <v>6210</v>
      </c>
      <c r="K123" s="104"/>
      <c r="L123" s="20"/>
    </row>
    <row r="124" spans="2:12">
      <c r="B124" s="18"/>
      <c r="C124" s="19"/>
      <c r="D124" s="19"/>
      <c r="E124" s="19"/>
      <c r="F124" s="19"/>
      <c r="G124" s="19"/>
      <c r="H124" s="19"/>
      <c r="I124" s="19"/>
      <c r="J124" s="19"/>
      <c r="K124" s="19"/>
      <c r="L124" s="20"/>
    </row>
    <row r="125" spans="2:12">
      <c r="B125" s="50"/>
      <c r="C125" s="51"/>
      <c r="D125" s="51"/>
      <c r="E125" s="51"/>
      <c r="F125" s="51"/>
      <c r="G125" s="51"/>
      <c r="H125" s="51"/>
      <c r="I125" s="51"/>
      <c r="J125" s="51"/>
      <c r="K125" s="51"/>
      <c r="L125" s="52"/>
    </row>
    <row r="126" spans="2:12" ht="16.5" customHeight="1">
      <c r="B126" s="50"/>
      <c r="C126" s="53"/>
      <c r="D126" s="53"/>
      <c r="E126" s="53"/>
      <c r="F126" s="53"/>
      <c r="G126" s="53"/>
      <c r="H126" s="53"/>
      <c r="I126" s="53"/>
      <c r="J126" s="51"/>
      <c r="K126" s="53"/>
      <c r="L126" s="52"/>
    </row>
    <row r="127" spans="2:12" ht="16.5" customHeight="1">
      <c r="B127" s="50"/>
      <c r="C127" s="102" t="s">
        <v>112</v>
      </c>
      <c r="D127" s="102"/>
      <c r="E127" s="102"/>
      <c r="F127" s="102"/>
      <c r="G127" s="102"/>
      <c r="H127" s="102"/>
      <c r="I127" s="51"/>
      <c r="J127" s="100">
        <v>12.1</v>
      </c>
      <c r="K127" s="100"/>
      <c r="L127" s="52"/>
    </row>
    <row r="128" spans="2:12" ht="16.5" customHeight="1" thickBot="1">
      <c r="B128" s="50"/>
      <c r="C128" s="102"/>
      <c r="D128" s="102"/>
      <c r="E128" s="102"/>
      <c r="F128" s="102"/>
      <c r="G128" s="102"/>
      <c r="H128" s="102"/>
      <c r="I128" s="51"/>
      <c r="J128" s="101"/>
      <c r="K128" s="101"/>
      <c r="L128" s="52"/>
    </row>
    <row r="129" spans="2:12" ht="15.75" thickTop="1">
      <c r="B129" s="50"/>
      <c r="C129" s="53"/>
      <c r="D129" s="53"/>
      <c r="E129" s="53"/>
      <c r="F129" s="53"/>
      <c r="G129" s="53"/>
      <c r="H129" s="53"/>
      <c r="I129" s="53"/>
      <c r="J129" s="53"/>
      <c r="K129" s="53"/>
      <c r="L129" s="52"/>
    </row>
    <row r="130" spans="2:12" ht="15.75" customHeight="1">
      <c r="B130" s="50"/>
      <c r="C130" s="53"/>
      <c r="D130" s="53"/>
      <c r="E130" s="53"/>
      <c r="F130" s="53"/>
      <c r="G130" s="53"/>
      <c r="H130" s="53"/>
      <c r="I130" s="53"/>
      <c r="J130" s="53"/>
      <c r="K130" s="53"/>
      <c r="L130" s="52"/>
    </row>
    <row r="131" spans="2:12" ht="15.75" thickBot="1">
      <c r="B131" s="54"/>
      <c r="C131" s="55"/>
      <c r="D131" s="55"/>
      <c r="E131" s="55"/>
      <c r="F131" s="55"/>
      <c r="G131" s="55"/>
      <c r="H131" s="55"/>
      <c r="I131" s="55"/>
      <c r="J131" s="55"/>
      <c r="K131" s="55"/>
      <c r="L131" s="56"/>
    </row>
    <row r="132" spans="2:12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</sheetData>
  <sheetProtection sheet="1" objects="1" scenarios="1"/>
  <mergeCells count="79">
    <mergeCell ref="J127:K128"/>
    <mergeCell ref="C127:H128"/>
    <mergeCell ref="C35:E35"/>
    <mergeCell ref="J123:K123"/>
    <mergeCell ref="F123:I123"/>
    <mergeCell ref="J35:K35"/>
    <mergeCell ref="J37:K37"/>
    <mergeCell ref="J75:K75"/>
    <mergeCell ref="J91:K91"/>
    <mergeCell ref="C64:G64"/>
    <mergeCell ref="C58:G58"/>
    <mergeCell ref="C65:G65"/>
    <mergeCell ref="C76:E76"/>
    <mergeCell ref="J57:K57"/>
    <mergeCell ref="J58:K58"/>
    <mergeCell ref="J59:K59"/>
    <mergeCell ref="B3:L4"/>
    <mergeCell ref="I6:K6"/>
    <mergeCell ref="C14:G14"/>
    <mergeCell ref="F10:G10"/>
    <mergeCell ref="J122:K122"/>
    <mergeCell ref="G122:I122"/>
    <mergeCell ref="F12:G12"/>
    <mergeCell ref="C16:G16"/>
    <mergeCell ref="D21:G21"/>
    <mergeCell ref="C6:F6"/>
    <mergeCell ref="E19:G19"/>
    <mergeCell ref="D23:G23"/>
    <mergeCell ref="J29:K29"/>
    <mergeCell ref="J30:K30"/>
    <mergeCell ref="C37:G37"/>
    <mergeCell ref="J32:K32"/>
    <mergeCell ref="J95:K95"/>
    <mergeCell ref="J96:K96"/>
    <mergeCell ref="C28:K28"/>
    <mergeCell ref="C32:E32"/>
    <mergeCell ref="C34:D34"/>
    <mergeCell ref="C30:D30"/>
    <mergeCell ref="J55:K55"/>
    <mergeCell ref="C49:F49"/>
    <mergeCell ref="J47:K47"/>
    <mergeCell ref="C41:K41"/>
    <mergeCell ref="C45:K45"/>
    <mergeCell ref="J43:K43"/>
    <mergeCell ref="J42:K42"/>
    <mergeCell ref="J46:K46"/>
    <mergeCell ref="C43:D43"/>
    <mergeCell ref="C47:G47"/>
    <mergeCell ref="C82:D82"/>
    <mergeCell ref="J76:K76"/>
    <mergeCell ref="J78:K78"/>
    <mergeCell ref="J80:K80"/>
    <mergeCell ref="J82:K82"/>
    <mergeCell ref="C74:K74"/>
    <mergeCell ref="C53:K53"/>
    <mergeCell ref="J49:K49"/>
    <mergeCell ref="J66:K66"/>
    <mergeCell ref="J70:K70"/>
    <mergeCell ref="J68:K68"/>
    <mergeCell ref="J62:K62"/>
    <mergeCell ref="J60:K60"/>
    <mergeCell ref="J64:K64"/>
    <mergeCell ref="J65:K65"/>
    <mergeCell ref="J117:K117"/>
    <mergeCell ref="J107:K107"/>
    <mergeCell ref="C117:G117"/>
    <mergeCell ref="C80:G80"/>
    <mergeCell ref="C106:K106"/>
    <mergeCell ref="C90:K90"/>
    <mergeCell ref="J100:K100"/>
    <mergeCell ref="J102:K102"/>
    <mergeCell ref="J108:K108"/>
    <mergeCell ref="J110:K110"/>
    <mergeCell ref="J112:K112"/>
    <mergeCell ref="J114:K114"/>
    <mergeCell ref="J84:K84"/>
    <mergeCell ref="J86:K86"/>
    <mergeCell ref="J93:K93"/>
    <mergeCell ref="J98:K98"/>
  </mergeCells>
  <dataValidations count="41">
    <dataValidation type="whole" errorStyle="warning" allowBlank="1" showInputMessage="1" showErrorMessage="1" errorTitle="Invalid Input " error="Please enter income amount (RM) in positive whole numbers" promptTitle="Gross Annual Income" prompt="Insert Gross Annual Income (RM) before any deductions" sqref="I6:K6" xr:uid="{46925975-16BA-4784-808B-B6102A06E72C}">
      <formula1>0</formula1>
      <formula2>10000000000000000000</formula2>
    </dataValidation>
    <dataValidation type="whole" allowBlank="1" showInputMessage="1" showErrorMessage="1" errorTitle="Invalid Entry" error="This is a required field. Please enter a valid Number." promptTitle="Number of Children" prompt="Please enter number of children that are still under your care." sqref="H12" xr:uid="{A95AD400-20B5-425B-B574-F9B85D6FD09D}">
      <formula1>0</formula1>
      <formula2>20</formula2>
    </dataValidation>
    <dataValidation type="whole" allowBlank="1" showInputMessage="1" showErrorMessage="1" errorTitle="Invalid Entry" error="This is a required field.  Please enter a valid Number." promptTitle="Full-Time Education" prompt="Please enter number of children receiving preparatory courses " sqref="I14" xr:uid="{DEC7E861-1157-4538-B6BF-249DF8CE363D}">
      <formula1>0</formula1>
      <formula2>20</formula2>
    </dataValidation>
    <dataValidation type="whole" allowBlank="1" showInputMessage="1" showErrorMessage="1" errorTitle="Try again." error="Please enter a valid number that is less than or equivalent to your number of children" promptTitle="Number of Disabled Children" prompt="Please insert no. of disabled children under your care." sqref="H19" xr:uid="{32AD8491-46AE-40AD-956C-3ABE94080418}">
      <formula1>0</formula1>
      <formula2>$H$12</formula2>
    </dataValidation>
    <dataValidation type="list" allowBlank="1" showInputMessage="1" showErrorMessage="1" errorTitle="Invalid Selection" error="Please make a selection" prompt="Select &quot;Yes&quot; if you are a Public Servant, &quot;No&quot; otherwise." sqref="H23" xr:uid="{A565E9B8-F7D1-4BF2-9282-BC773CC90AC0}">
      <formula1>"Yes, No"</formula1>
    </dataValidation>
    <dataValidation type="custom" showInputMessage="1" showErrorMessage="1" errorTitle="Invalid Entry" error="This field is only for pensionable public Servants. If you are a public servant, Please insert numbers only" promptTitle="Only Public Servants" prompt="Life insurance premium for Public servants" sqref="H93" xr:uid="{9927E1CD-5F8E-4EBE-B186-97F6F302BF59}">
      <formula1>$H$23 = "Yes"</formula1>
    </dataValidation>
    <dataValidation type="custom" allowBlank="1" showInputMessage="1" showErrorMessage="1" errorTitle="Invalid Entry" error="This field is only for pensionable NON- public Servants. If you are a NON-public servant, Please insert numbers only" promptTitle="Only Non-Public Servants" prompt="Life Insurance Premium for non-public servants" sqref="H95" xr:uid="{4FE8FB73-68E3-449A-9AE0-50824AEF7687}">
      <formula1>$H$23 = "No"</formula1>
    </dataValidation>
    <dataValidation type="custom" allowBlank="1" showInputMessage="1" showErrorMessage="1" errorTitle="Invalid entry" error="This field is only for NON- public Servants. If you are a non-public servant, please try again by inserting a valid amount (RM)" promptTitle="Only Non-Public Servants" prompt="EPF for Non-public Servants" sqref="H96" xr:uid="{31D11172-00B0-4CBD-BFB9-B5D3FA590E43}">
      <formula1>$H$23 = "No"</formula1>
    </dataValidation>
    <dataValidation type="whole" allowBlank="1" showInputMessage="1" showErrorMessage="1" promptTitle="Medical Examinations for self" sqref="H47" xr:uid="{3D42DBCE-6D24-4AE9-B6B6-8974FDB2AFD4}">
      <formula1>0</formula1>
      <formula2>J47</formula2>
    </dataValidation>
    <dataValidation type="custom" allowBlank="1" showInputMessage="1" showErrorMessage="1" errorTitle="Invalid Entry" error="Please enter a valid amount within the specified range" prompt="Medical expenses for serious diseases or fetility Treatments for self, spouse or child" sqref="H49" xr:uid="{0BC9EC4B-E902-484D-8389-ABBBD1AD15E4}">
      <formula1>IF($H$47&lt;=500, $H$49&lt;=6000-$H$47, $H$49 = 6000)</formula1>
    </dataValidation>
    <dataValidation type="decimal" allowBlank="1" showInputMessage="1" showErrorMessage="1" errorTitle="Invalid Entry" error="Please enter a valid amount within the range." prompt="Payment for accommodation at premises registered with the Commissioner of Tourism and entrance fee to a tourist attraction Only." sqref="H70" xr:uid="{0774380B-BF9B-41AC-B830-42BF3DF033E2}">
      <formula1>0</formula1>
      <formula2>J70</formula2>
    </dataValidation>
    <dataValidation type="decimal" allowBlank="1" showInputMessage="1" showErrorMessage="1" errorTitle="Invalid Entry " error="Please enter a valid amount within the range" prompt="Purchase of breastfeeding equipment for own use for a child aged 2 years and below (Deduction allowed once in every 2 years of assessment)" sqref="H76" xr:uid="{3243EE4F-6724-4249-BB70-37AE5A7B4215}">
      <formula1>0</formula1>
      <formula2>J76</formula2>
    </dataValidation>
    <dataValidation type="decimal" allowBlank="1" showInputMessage="1" showErrorMessage="1" errorTitle="Invalid Entry" error="Please enter a valid amount within the range." prompt=" Child care fees to a registered child care centre / kindergarten for a child aged 6 years and below" sqref="H78" xr:uid="{5451FD1C-AF15-4A4D-8D68-F9718B82D4A4}">
      <formula1>0</formula1>
      <formula2>J78</formula2>
    </dataValidation>
    <dataValidation type="decimal" allowBlank="1" showInputMessage="1" showErrorMessage="1" errorTitle="Invalid Entry" error="Please enter a valid amount wihtin the range" prompt="Total deposit in 2020 MINUS total withdrawal in 2020" sqref="H80" xr:uid="{FD736EAE-17E3-482A-ADBE-02EE63327C91}">
      <formula1>0</formula1>
      <formula2>J80</formula2>
    </dataValidation>
    <dataValidation type="decimal" allowBlank="1" showInputMessage="1" showErrorMessage="1" promptTitle="Tax Relief per child" prompt="Each unmarried child and under the age of 18 years old" sqref="H82" xr:uid="{1658428B-BBED-47E5-A02B-AAA1CBF48DE9}">
      <formula1>0</formula1>
      <formula2>$H$12*2000</formula2>
    </dataValidation>
    <dataValidation type="whole" allowBlank="1" showInputMessage="1" showErrorMessage="1" errorTitle="Invalid Entry " error="Please enter a valid amount within the range." prompt="Deferred Annuity and Private Retirement Scheme (PRS) - with effect from year assessment 2012 until year assessment 2021" sqref="H98" xr:uid="{5864215D-C879-43A5-BE43-556368F77DF3}">
      <formula1>0</formula1>
      <formula2>J98</formula2>
    </dataValidation>
    <dataValidation type="decimal" allowBlank="1" showInputMessage="1" showErrorMessage="1" errorTitle="Invalid Entry" error="Please enter a valid amount within the range." prompt=" Education and medical insurance (INCLUDING not through salary deduction)" sqref="H100" xr:uid="{FCC142D6-01F6-4245-B8FA-D1DA1AC3BE33}">
      <formula1>0</formula1>
      <formula2>J100</formula2>
    </dataValidation>
    <dataValidation type="decimal" allowBlank="1" showInputMessage="1" showErrorMessage="1" errorTitle="Invalid Entry" error="Please enter a valid amount within the specified range." prompt="Contribution to the Social Security Organization (SOCSO)" sqref="H102" xr:uid="{8754D043-F779-4F2C-8F4C-238B3CC8D49B}">
      <formula1>0</formula1>
      <formula2>J102</formula2>
    </dataValidation>
    <dataValidation type="decimal" allowBlank="1" showInputMessage="1" showErrorMessage="1" errorTitle="Invalid Entry" error="Please enter a valid amount within the specified range_x000a_" prompt=" Medical treatment, special needs and carer expenses for parents (Medical condition certified by medical practitioner)" sqref="H32" xr:uid="{E5366B92-AD6D-4D12-93F3-815E1F16CFE1}">
      <formula1>0</formula1>
      <formula2>J32</formula2>
    </dataValidation>
    <dataValidation type="decimal" allowBlank="1" showInputMessage="1" showErrorMessage="1" errorTitle="Invalid Entry" error="Please enter a valid amount within the specified range._x000a_" prompt="Husband / wife / payment of alimony to former wife" sqref="H37" xr:uid="{D1B5210C-31F2-4C4A-8BF8-F7FFBC3A24A4}">
      <formula1>0</formula1>
      <formula2>J37</formula2>
    </dataValidation>
    <dataValidation type="decimal" allowBlank="1" showInputMessage="1" showErrorMessage="1" sqref="H39" xr:uid="{F96410CA-1B57-41A0-8AD9-36B6B3B13A88}">
      <formula1>0</formula1>
      <formula2>SUM($J$30,$J$32,$J$35,$J$37)</formula2>
    </dataValidation>
    <dataValidation type="decimal" allowBlank="1" showInputMessage="1" showErrorMessage="1" errorTitle="Invalid Entry" error="Please enter a valid amount within the restricted range" promptTitle="Education Relief for Self" prompt="Masters or Doctorate level, or any Course of study in law, accounting, islamic financing, technical, vocational, industrial, scientific or technology" sqref="H43" xr:uid="{A1B272B4-DF61-4FFF-BB42-8687FF2A2941}">
      <formula1>0</formula1>
      <formula2>J43</formula2>
    </dataValidation>
    <dataValidation type="decimal" allowBlank="1" showInputMessage="1" showErrorMessage="1" sqref="H51" xr:uid="{03C5C51C-6FF4-4B61-8525-9E04E913950E}">
      <formula1>0</formula1>
      <formula2>SUM(J47,J49)</formula2>
    </dataValidation>
    <dataValidation type="decimal" allowBlank="1" showInputMessage="1" showErrorMessage="1" sqref="H72" xr:uid="{D34A011F-D041-4EDA-9D03-3B94093366D5}">
      <formula1>0</formula1>
      <formula2>SUM(J62,J68,J70)</formula2>
    </dataValidation>
    <dataValidation type="decimal" allowBlank="1" showInputMessage="1" showErrorMessage="1" sqref="H88" xr:uid="{A20499F5-7153-432C-9943-9CEE801FB0A8}">
      <formula1>0</formula1>
      <formula2>SUM(J76,J78,J80,(J82*H12),(J84*I14),(J86*K14))</formula2>
    </dataValidation>
    <dataValidation type="decimal" allowBlank="1" showInputMessage="1" showErrorMessage="1" errorTitle="Invalid Entry" error="Please enter a valid amount within the restricted range" prompt=" Basic supporting equipment for disabled self, spouse, child or parent" sqref="H114" xr:uid="{08AB62C2-49B1-46BA-9FEA-F9E9D14E7F63}">
      <formula1>0</formula1>
      <formula2>J114</formula2>
    </dataValidation>
    <dataValidation allowBlank="1" showInputMessage="1" showErrorMessage="1" errorTitle="Invalid Entry " error="Please enter a valid amount wihtin the specified range." prompt="Additional exemption of RM8,000 disable child age 18 years old and above, not married and pursuing diplomas or above qualification in Malaysia @ bachelor degree or above" sqref="H117" xr:uid="{38C4CD14-1672-407A-B651-AB8C034BDECF}"/>
    <dataValidation type="decimal" allowBlank="1" showInputMessage="1" showErrorMessage="1" sqref="H119" xr:uid="{B9D575DB-2ABA-4659-BEA0-2006FC673D5B}">
      <formula1>0</formula1>
      <formula2>SUM(J108,J110,(J112*H19),J114,J117)</formula2>
    </dataValidation>
    <dataValidation type="decimal" allowBlank="1" showInputMessage="1" showErrorMessage="1" errorTitle="Invalid Entry" error="Please enter a valid amount within the specified range" prompt="Each unmarried child of 18 years and above who is receiving full-time education (&quot;A-Level&quot;, certificate, matriculation or preparatory courses)." sqref="H84" xr:uid="{66290D2B-9BC8-4469-B639-F0C2DFB559A4}">
      <formula1>0</formula1>
      <formula2>J84 *I14</formula2>
    </dataValidation>
    <dataValidation type="decimal" allowBlank="1" showInputMessage="1" showErrorMessage="1" errorTitle="Invalid Entry" error="Please enter a valid amount within the specified range" prompt="Each unmarried child of 18 years and above that is/are receiving further education excluding matriculation/ preparatory courses OR Master or Doctorate certification in or outside Malaysia" sqref="H86" xr:uid="{823A84F6-090F-465B-9AF4-174323719A3F}">
      <formula1>0</formula1>
      <formula2>J86*K14</formula2>
    </dataValidation>
    <dataValidation type="whole" allowBlank="1" showInputMessage="1" showErrorMessage="1" errorTitle="Invalid Entry" error="This is a required field.  Please enter a valid Number." promptTitle="Full-Time Education" prompt="Each unmarried child of 18 years and above that is/are receiving further education excluding matriculation/ preparatory courses OR Master or Doctorate certification in or outside Malaysia" sqref="K14" xr:uid="{3DAD3687-882B-4E03-BB95-A15FEFF98FC2}">
      <formula1>0</formula1>
      <formula2>20</formula2>
    </dataValidation>
    <dataValidation type="whole" allowBlank="1" showInputMessage="1" showErrorMessage="1" sqref="H110 H108" xr:uid="{B3E5A8DB-32E7-4403-88A4-E98118BBDA1B}">
      <formula1>0</formula1>
      <formula2>J108</formula2>
    </dataValidation>
    <dataValidation type="decimal" allowBlank="1" showInputMessage="1" showErrorMessage="1" errorTitle="Try again" error="The total exceeds the restricted range. PLease enter a valid amount within the range." sqref="H62" xr:uid="{C6BE708F-155C-417F-87FF-D4C716D8FBFD}">
      <formula1>0</formula1>
      <formula2>J62</formula2>
    </dataValidation>
    <dataValidation type="custom" allowBlank="1" showInputMessage="1" showErrorMessage="1" errorTitle="Value Exceeded" error="The Total claim amount exceeds the restricted range allowed. Please Try again." sqref="H57:H60" xr:uid="{93808DD4-C37C-4258-AE8A-4F2F7B425DA2}">
      <formula1>SUM($H$57:$H$60) &lt;=$J$62</formula1>
    </dataValidation>
    <dataValidation type="custom" allowBlank="1" showInputMessage="1" showErrorMessage="1" errorTitle="Value Exceeded" error="The Total claim amount exceeds the restricted range allowed. Please Try again." sqref="H64:H66" xr:uid="{7CD46FE6-8123-4065-929F-85B5C756D80D}">
      <formula1>SUM($H$64:$H$66) &lt;=$J$68</formula1>
    </dataValidation>
    <dataValidation type="list" allowBlank="1" showInputMessage="1" showErrorMessage="1" errorTitle="Invalid Selection" error="Please make a selection." prompt="Select &quot;Yes&quot; if you have any Disabled Family Members, &quot;No&quot; otherwise." sqref="H16" xr:uid="{E1B1D55E-097B-4110-98C3-49A0E038612E}">
      <formula1>"Yes, No"</formula1>
    </dataValidation>
    <dataValidation type="whole" allowBlank="1" showInputMessage="1" showErrorMessage="1" promptTitle="Disabled Child Relief" prompt="Relief is granted per child." sqref="H112" xr:uid="{26C581E4-704B-4357-B04F-569E9D178A4E}">
      <formula1>0</formula1>
      <formula2>J112*H19</formula2>
    </dataValidation>
    <dataValidation operator="notBetween" allowBlank="1" showInputMessage="1" showErrorMessage="1" sqref="J123:K123" xr:uid="{B4FC7AB2-A7A6-4541-AFE2-08AD7C0CC3B6}"/>
    <dataValidation type="list" allowBlank="1" showInputMessage="1" showErrorMessage="1" errorTitle="Invalid Selection " error="This is a required field. Please make a selection" prompt="Number of Parents you provide for. " sqref="H21" xr:uid="{D85D785A-540B-4301-AC33-70248D2D81F1}">
      <formula1>"0,1,2"</formula1>
    </dataValidation>
    <dataValidation type="custom" allowBlank="1" showInputMessage="1" showErrorMessage="1" prompt="This field changes upon selection on Number of parents under your care" sqref="H35" xr:uid="{DA3B86A1-3B5F-4CDB-BF94-648987046B1C}">
      <formula1 xml:space="preserve"> IF((AND($H$32 &lt;&gt;0,$H$32&lt;=5000)),0, $H$21*1500)</formula1>
    </dataValidation>
    <dataValidation type="whole" allowBlank="1" showInputMessage="1" showErrorMessage="1" sqref="J112:K112" xr:uid="{8F9E9FAE-D6DB-4CCD-BB15-63BD38C1EF40}">
      <formula1>0</formula1>
      <formula2>J112*20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77" r:id="rId4" name="btnCalculate">
          <controlPr autoLine="0" r:id="rId5">
            <anchor moveWithCells="1">
              <from>
                <xdr:col>5</xdr:col>
                <xdr:colOff>238125</xdr:colOff>
                <xdr:row>123</xdr:row>
                <xdr:rowOff>133350</xdr:rowOff>
              </from>
              <to>
                <xdr:col>7</xdr:col>
                <xdr:colOff>371475</xdr:colOff>
                <xdr:row>125</xdr:row>
                <xdr:rowOff>161925</xdr:rowOff>
              </to>
            </anchor>
          </controlPr>
        </control>
      </mc:Choice>
      <mc:Fallback>
        <control shapeId="1077" r:id="rId4" name="btnCalculate"/>
      </mc:Fallback>
    </mc:AlternateContent>
    <mc:AlternateContent xmlns:mc="http://schemas.openxmlformats.org/markup-compatibility/2006">
      <mc:Choice Requires="x14">
        <control shapeId="1071" r:id="rId6" name="chkDisabledChild">
          <controlPr defaultSize="0" autoFill="0" autoLine="0" r:id="rId7">
            <anchor moveWithCells="1">
              <from>
                <xdr:col>8</xdr:col>
                <xdr:colOff>466725</xdr:colOff>
                <xdr:row>17</xdr:row>
                <xdr:rowOff>161925</xdr:rowOff>
              </from>
              <to>
                <xdr:col>11</xdr:col>
                <xdr:colOff>209550</xdr:colOff>
                <xdr:row>18</xdr:row>
                <xdr:rowOff>152400</xdr:rowOff>
              </to>
            </anchor>
          </controlPr>
        </control>
      </mc:Choice>
      <mc:Fallback>
        <control shapeId="1071" r:id="rId6" name="chkDisabledChild"/>
      </mc:Fallback>
    </mc:AlternateContent>
    <mc:AlternateContent xmlns:mc="http://schemas.openxmlformats.org/markup-compatibility/2006">
      <mc:Choice Requires="x14">
        <control shapeId="1070" r:id="rId8" name="chkDisabledSpouse">
          <controlPr defaultSize="0" autoFill="0" autoLine="0" r:id="rId9">
            <anchor moveWithCells="1">
              <from>
                <xdr:col>8</xdr:col>
                <xdr:colOff>466725</xdr:colOff>
                <xdr:row>16</xdr:row>
                <xdr:rowOff>76200</xdr:rowOff>
              </from>
              <to>
                <xdr:col>11</xdr:col>
                <xdr:colOff>57150</xdr:colOff>
                <xdr:row>17</xdr:row>
                <xdr:rowOff>57150</xdr:rowOff>
              </to>
            </anchor>
          </controlPr>
        </control>
      </mc:Choice>
      <mc:Fallback>
        <control shapeId="1070" r:id="rId8" name="chkDisabledSpouse"/>
      </mc:Fallback>
    </mc:AlternateContent>
    <mc:AlternateContent xmlns:mc="http://schemas.openxmlformats.org/markup-compatibility/2006">
      <mc:Choice Requires="x14">
        <control shapeId="1069" r:id="rId10" name="chkDisabledIndividual">
          <controlPr defaultSize="0" autoFill="0" autoLine="0" r:id="rId11">
            <anchor moveWithCells="1">
              <from>
                <xdr:col>8</xdr:col>
                <xdr:colOff>476250</xdr:colOff>
                <xdr:row>15</xdr:row>
                <xdr:rowOff>9525</xdr:rowOff>
              </from>
              <to>
                <xdr:col>10</xdr:col>
                <xdr:colOff>152400</xdr:colOff>
                <xdr:row>15</xdr:row>
                <xdr:rowOff>180975</xdr:rowOff>
              </to>
            </anchor>
          </controlPr>
        </control>
      </mc:Choice>
      <mc:Fallback>
        <control shapeId="1069" r:id="rId10" name="chkDisabledIndividual"/>
      </mc:Fallback>
    </mc:AlternateContent>
    <mc:AlternateContent xmlns:mc="http://schemas.openxmlformats.org/markup-compatibility/2006">
      <mc:Choice Requires="x14">
        <control shapeId="1064" r:id="rId12" name="btnReset">
          <controlPr defaultSize="0" autoLine="0" r:id="rId13">
            <anchor moveWithCells="1">
              <from>
                <xdr:col>5</xdr:col>
                <xdr:colOff>571500</xdr:colOff>
                <xdr:row>128</xdr:row>
                <xdr:rowOff>123825</xdr:rowOff>
              </from>
              <to>
                <xdr:col>7</xdr:col>
                <xdr:colOff>38100</xdr:colOff>
                <xdr:row>130</xdr:row>
                <xdr:rowOff>57150</xdr:rowOff>
              </to>
            </anchor>
          </controlPr>
        </control>
      </mc:Choice>
      <mc:Fallback>
        <control shapeId="1064" r:id="rId12" name="btnReset"/>
      </mc:Fallback>
    </mc:AlternateContent>
    <mc:AlternateContent xmlns:mc="http://schemas.openxmlformats.org/markup-compatibility/2006">
      <mc:Choice Requires="x14">
        <control shapeId="1032" r:id="rId14" name="opBtnSingle">
          <controlPr locked="0" defaultSize="0" autoFill="0" autoLine="0" r:id="rId15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7</xdr:col>
                <xdr:colOff>809625</xdr:colOff>
                <xdr:row>10</xdr:row>
                <xdr:rowOff>47625</xdr:rowOff>
              </to>
            </anchor>
          </controlPr>
        </control>
      </mc:Choice>
      <mc:Fallback>
        <control shapeId="1032" r:id="rId14" name="opBtnSingle"/>
      </mc:Fallback>
    </mc:AlternateContent>
    <mc:AlternateContent xmlns:mc="http://schemas.openxmlformats.org/markup-compatibility/2006">
      <mc:Choice Requires="x14">
        <control shapeId="1033" r:id="rId16" name="opBtnMarried">
          <controlPr locked="0" defaultSize="0" autoFill="0" autoLine="0" r:id="rId17">
            <anchor moveWithCells="1">
              <from>
                <xdr:col>8</xdr:col>
                <xdr:colOff>85725</xdr:colOff>
                <xdr:row>9</xdr:row>
                <xdr:rowOff>0</xdr:rowOff>
              </from>
              <to>
                <xdr:col>9</xdr:col>
                <xdr:colOff>266700</xdr:colOff>
                <xdr:row>10</xdr:row>
                <xdr:rowOff>47625</xdr:rowOff>
              </to>
            </anchor>
          </controlPr>
        </control>
      </mc:Choice>
      <mc:Fallback>
        <control shapeId="1033" r:id="rId16" name="opBtnMarried"/>
      </mc:Fallback>
    </mc:AlternateContent>
    <mc:AlternateContent xmlns:mc="http://schemas.openxmlformats.org/markup-compatibility/2006">
      <mc:Choice Requires="x14">
        <control shapeId="1034" r:id="rId18" name="opBtnDivorced">
          <controlPr locked="0" defaultSize="0" autoFill="0" autoLine="0" r:id="rId19">
            <anchor moveWithCells="1">
              <from>
                <xdr:col>9</xdr:col>
                <xdr:colOff>514350</xdr:colOff>
                <xdr:row>9</xdr:row>
                <xdr:rowOff>9525</xdr:rowOff>
              </from>
              <to>
                <xdr:col>11</xdr:col>
                <xdr:colOff>76200</xdr:colOff>
                <xdr:row>10</xdr:row>
                <xdr:rowOff>57150</xdr:rowOff>
              </to>
            </anchor>
          </controlPr>
        </control>
      </mc:Choice>
      <mc:Fallback>
        <control shapeId="1034" r:id="rId18" name="opBtnDivorced"/>
      </mc:Fallback>
    </mc:AlternateContent>
    <mc:AlternateContent xmlns:mc="http://schemas.openxmlformats.org/markup-compatibility/2006">
      <mc:Choice Requires="x14">
        <control shapeId="1031" r:id="rId20" name="Group Box 7">
          <controlPr defaultSize="0" autoFill="0" autoPict="0">
            <anchor moveWithCells="1">
              <from>
                <xdr:col>1</xdr:col>
                <xdr:colOff>209550</xdr:colOff>
                <xdr:row>7</xdr:row>
                <xdr:rowOff>114300</xdr:rowOff>
              </from>
              <to>
                <xdr:col>11</xdr:col>
                <xdr:colOff>304800</xdr:colOff>
                <xdr:row>24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21" name="Group Box 33">
          <controlPr defaultSize="0" autoFill="0" autoPict="0">
            <anchor moveWithCells="1">
              <from>
                <xdr:col>1</xdr:col>
                <xdr:colOff>209550</xdr:colOff>
                <xdr:row>25</xdr:row>
                <xdr:rowOff>9525</xdr:rowOff>
              </from>
              <to>
                <xdr:col>11</xdr:col>
                <xdr:colOff>266700</xdr:colOff>
                <xdr:row>119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4CDD3-2116-40AC-A43D-16505AC662CF}">
  <sheetPr codeName="Sheet2"/>
  <dimension ref="B2:E25"/>
  <sheetViews>
    <sheetView topLeftCell="B1" workbookViewId="0">
      <selection activeCell="I19" sqref="I19"/>
    </sheetView>
  </sheetViews>
  <sheetFormatPr defaultRowHeight="15"/>
  <cols>
    <col min="2" max="2" width="34.5703125" customWidth="1"/>
    <col min="3" max="3" width="31.42578125" style="9" customWidth="1"/>
    <col min="4" max="4" width="11.42578125" style="9" bestFit="1" customWidth="1"/>
    <col min="5" max="5" width="12.5703125" style="9" bestFit="1" customWidth="1"/>
  </cols>
  <sheetData>
    <row r="2" spans="2:5" ht="15.75">
      <c r="B2" s="10" t="s">
        <v>14</v>
      </c>
      <c r="C2" s="10" t="s">
        <v>2</v>
      </c>
      <c r="D2" s="10" t="s">
        <v>3</v>
      </c>
      <c r="E2" s="10" t="s">
        <v>15</v>
      </c>
    </row>
    <row r="3" spans="2:5">
      <c r="B3" s="11" t="s">
        <v>16</v>
      </c>
      <c r="C3" s="11" t="s">
        <v>17</v>
      </c>
      <c r="D3" s="11">
        <v>0</v>
      </c>
      <c r="E3" s="11">
        <v>0</v>
      </c>
    </row>
    <row r="4" spans="2:5">
      <c r="B4" s="107" t="s">
        <v>18</v>
      </c>
      <c r="C4" s="11" t="s">
        <v>17</v>
      </c>
      <c r="D4" s="107">
        <v>1</v>
      </c>
      <c r="E4" s="11">
        <v>0</v>
      </c>
    </row>
    <row r="5" spans="2:5">
      <c r="B5" s="107"/>
      <c r="C5" s="12" t="s">
        <v>4</v>
      </c>
      <c r="D5" s="107"/>
      <c r="E5" s="12">
        <v>150</v>
      </c>
    </row>
    <row r="6" spans="2:5">
      <c r="B6" s="107" t="s">
        <v>19</v>
      </c>
      <c r="C6" s="11" t="s">
        <v>20</v>
      </c>
      <c r="D6" s="107">
        <v>3</v>
      </c>
      <c r="E6" s="11">
        <v>150</v>
      </c>
    </row>
    <row r="7" spans="2:5">
      <c r="B7" s="107"/>
      <c r="C7" s="12" t="s">
        <v>4</v>
      </c>
      <c r="D7" s="107"/>
      <c r="E7" s="12">
        <v>450</v>
      </c>
    </row>
    <row r="8" spans="2:5">
      <c r="B8" s="107" t="s">
        <v>21</v>
      </c>
      <c r="C8" s="11" t="s">
        <v>22</v>
      </c>
      <c r="D8" s="107">
        <v>8</v>
      </c>
      <c r="E8" s="11">
        <v>600</v>
      </c>
    </row>
    <row r="9" spans="2:5">
      <c r="B9" s="107"/>
      <c r="C9" s="12" t="s">
        <v>4</v>
      </c>
      <c r="D9" s="107"/>
      <c r="E9" s="13">
        <v>1200</v>
      </c>
    </row>
    <row r="10" spans="2:5">
      <c r="B10" s="107" t="s">
        <v>23</v>
      </c>
      <c r="C10" s="11" t="s">
        <v>24</v>
      </c>
      <c r="D10" s="107">
        <v>14</v>
      </c>
      <c r="E10" s="14">
        <v>1800</v>
      </c>
    </row>
    <row r="11" spans="2:5">
      <c r="B11" s="107"/>
      <c r="C11" s="12" t="s">
        <v>5</v>
      </c>
      <c r="D11" s="107"/>
      <c r="E11" s="13">
        <v>2800</v>
      </c>
    </row>
    <row r="12" spans="2:5">
      <c r="B12" s="107" t="s">
        <v>25</v>
      </c>
      <c r="C12" s="11" t="s">
        <v>26</v>
      </c>
      <c r="D12" s="107">
        <v>21</v>
      </c>
      <c r="E12" s="14">
        <v>4600</v>
      </c>
    </row>
    <row r="13" spans="2:5">
      <c r="B13" s="107"/>
      <c r="C13" s="12" t="s">
        <v>6</v>
      </c>
      <c r="D13" s="107"/>
      <c r="E13" s="13">
        <v>6300</v>
      </c>
    </row>
    <row r="14" spans="2:5">
      <c r="B14" s="107" t="s">
        <v>27</v>
      </c>
      <c r="C14" s="11" t="s">
        <v>28</v>
      </c>
      <c r="D14" s="107">
        <v>24</v>
      </c>
      <c r="E14" s="14">
        <v>10900</v>
      </c>
    </row>
    <row r="15" spans="2:5">
      <c r="B15" s="107"/>
      <c r="C15" s="12" t="s">
        <v>7</v>
      </c>
      <c r="D15" s="107"/>
      <c r="E15" s="13">
        <v>36000</v>
      </c>
    </row>
    <row r="16" spans="2:5">
      <c r="B16" s="107" t="s">
        <v>29</v>
      </c>
      <c r="C16" s="11" t="s">
        <v>30</v>
      </c>
      <c r="D16" s="107">
        <v>24.5</v>
      </c>
      <c r="E16" s="14">
        <v>46900</v>
      </c>
    </row>
    <row r="17" spans="2:5">
      <c r="B17" s="107"/>
      <c r="C17" s="12" t="s">
        <v>7</v>
      </c>
      <c r="D17" s="107"/>
      <c r="E17" s="13">
        <v>36750</v>
      </c>
    </row>
    <row r="18" spans="2:5">
      <c r="B18" s="107" t="s">
        <v>31</v>
      </c>
      <c r="C18" s="11" t="s">
        <v>32</v>
      </c>
      <c r="D18" s="107">
        <v>25</v>
      </c>
      <c r="E18" s="14">
        <v>83650</v>
      </c>
    </row>
    <row r="19" spans="2:5">
      <c r="B19" s="107"/>
      <c r="C19" s="12" t="s">
        <v>8</v>
      </c>
      <c r="D19" s="107"/>
      <c r="E19" s="13">
        <v>50000</v>
      </c>
    </row>
    <row r="20" spans="2:5">
      <c r="B20" s="107" t="s">
        <v>33</v>
      </c>
      <c r="C20" s="11" t="s">
        <v>34</v>
      </c>
      <c r="D20" s="107">
        <v>26</v>
      </c>
      <c r="E20" s="14">
        <v>133650</v>
      </c>
    </row>
    <row r="21" spans="2:5">
      <c r="B21" s="107"/>
      <c r="C21" s="12" t="s">
        <v>9</v>
      </c>
      <c r="D21" s="107"/>
      <c r="E21" s="13">
        <v>104000</v>
      </c>
    </row>
    <row r="22" spans="2:5">
      <c r="B22" s="107" t="s">
        <v>35</v>
      </c>
      <c r="C22" s="11" t="s">
        <v>36</v>
      </c>
      <c r="D22" s="107">
        <v>28</v>
      </c>
      <c r="E22" s="14">
        <v>237650</v>
      </c>
    </row>
    <row r="23" spans="2:5">
      <c r="B23" s="107"/>
      <c r="C23" s="12" t="s">
        <v>10</v>
      </c>
      <c r="D23" s="107"/>
      <c r="E23" s="13">
        <v>280000</v>
      </c>
    </row>
    <row r="24" spans="2:5" ht="15" customHeight="1">
      <c r="B24" s="107" t="s">
        <v>11</v>
      </c>
      <c r="C24" s="11" t="s">
        <v>37</v>
      </c>
      <c r="D24" s="107">
        <v>30</v>
      </c>
      <c r="E24" s="14">
        <v>517650</v>
      </c>
    </row>
    <row r="25" spans="2:5">
      <c r="B25" s="107"/>
      <c r="C25" s="12" t="s">
        <v>12</v>
      </c>
      <c r="D25" s="107"/>
      <c r="E25" s="12" t="s">
        <v>38</v>
      </c>
    </row>
  </sheetData>
  <mergeCells count="22">
    <mergeCell ref="B4:B5"/>
    <mergeCell ref="D4:D5"/>
    <mergeCell ref="B6:B7"/>
    <mergeCell ref="D6:D7"/>
    <mergeCell ref="B8:B9"/>
    <mergeCell ref="D8:D9"/>
    <mergeCell ref="B10:B11"/>
    <mergeCell ref="D10:D11"/>
    <mergeCell ref="B12:B13"/>
    <mergeCell ref="D12:D13"/>
    <mergeCell ref="B14:B15"/>
    <mergeCell ref="D14:D15"/>
    <mergeCell ref="B22:B23"/>
    <mergeCell ref="D22:D23"/>
    <mergeCell ref="B24:B25"/>
    <mergeCell ref="D24:D25"/>
    <mergeCell ref="B16:B17"/>
    <mergeCell ref="D16:D17"/>
    <mergeCell ref="B18:B19"/>
    <mergeCell ref="D18:D19"/>
    <mergeCell ref="B20:B21"/>
    <mergeCell ref="D20:D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Income Tax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</dc:creator>
  <cp:lastModifiedBy>HWA</cp:lastModifiedBy>
  <dcterms:created xsi:type="dcterms:W3CDTF">2021-08-31T21:54:22Z</dcterms:created>
  <dcterms:modified xsi:type="dcterms:W3CDTF">2021-09-05T03:55:08Z</dcterms:modified>
</cp:coreProperties>
</file>